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mc:AlternateContent xmlns:mc="http://schemas.openxmlformats.org/markup-compatibility/2006">
    <mc:Choice Requires="x15">
      <x15ac:absPath xmlns:x15ac="http://schemas.microsoft.com/office/spreadsheetml/2010/11/ac" url="https://d.docs.live.net/977429dc2078de91/Documents/"/>
    </mc:Choice>
  </mc:AlternateContent>
  <xr:revisionPtr revIDLastSave="223" documentId="8_{8F9CC621-1081-4950-9FB9-7612802C628C}" xr6:coauthVersionLast="47" xr6:coauthVersionMax="47" xr10:uidLastSave="{613FCD1A-C4F9-4A3D-8C4E-B005244050B3}"/>
  <bookViews>
    <workbookView xWindow="-108" yWindow="-108" windowWidth="23256" windowHeight="12456" firstSheet="4" activeTab="4" xr2:uid="{F1F502AC-A58F-470A-BBC4-069762EBEBF8}"/>
  </bookViews>
  <sheets>
    <sheet name="Sheet2" sheetId="2" r:id="rId1"/>
    <sheet name="Sheet3" sheetId="3" r:id="rId2"/>
    <sheet name="Sheet4" sheetId="4" r:id="rId3"/>
    <sheet name="Sheet5" sheetId="5" r:id="rId4"/>
    <sheet name="Sheet7" sheetId="7" r:id="rId5"/>
    <sheet name="Sheet1" sheetId="1" r:id="rId6"/>
  </sheets>
  <calcPr calcId="191028"/>
  <pivotCaches>
    <pivotCache cacheId="607" r:id="rId7"/>
    <pivotCache cacheId="60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" i="2" l="1"/>
  <c r="I4" i="2"/>
  <c r="I3" i="2"/>
  <c r="I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2" i="1"/>
</calcChain>
</file>

<file path=xl/sharedStrings.xml><?xml version="1.0" encoding="utf-8"?>
<sst xmlns="http://schemas.openxmlformats.org/spreadsheetml/2006/main" count="379" uniqueCount="51">
  <si>
    <t>Year</t>
  </si>
  <si>
    <t>Total fuel consumption(KL)</t>
  </si>
  <si>
    <t>Sum of Total fuel consumption(KL)</t>
  </si>
  <si>
    <t>Column Labels</t>
  </si>
  <si>
    <t>Row Labels</t>
  </si>
  <si>
    <t>Grand Total</t>
  </si>
  <si>
    <t>Adilabad</t>
  </si>
  <si>
    <t>Bhadradri Kothagudem</t>
  </si>
  <si>
    <t>Hanumakonda</t>
  </si>
  <si>
    <t>Hyderabad</t>
  </si>
  <si>
    <t>Jagtial</t>
  </si>
  <si>
    <t>Jangaon</t>
  </si>
  <si>
    <t>Jayashankar Bhupalpally</t>
  </si>
  <si>
    <t>Jogulamba Gadwal</t>
  </si>
  <si>
    <t>Kamareddy</t>
  </si>
  <si>
    <t>Karimnagar</t>
  </si>
  <si>
    <t>Khammam</t>
  </si>
  <si>
    <t>Kumuram Bheem Asifabad</t>
  </si>
  <si>
    <t>Mahabubabad</t>
  </si>
  <si>
    <t>Mahabubnagar</t>
  </si>
  <si>
    <t>Mancherial</t>
  </si>
  <si>
    <t>Medak</t>
  </si>
  <si>
    <t>Medchal-Malkajgiri</t>
  </si>
  <si>
    <t>Mulugu</t>
  </si>
  <si>
    <t>Nagarkurnool</t>
  </si>
  <si>
    <t>Nalgonda</t>
  </si>
  <si>
    <t>Narayanpet</t>
  </si>
  <si>
    <t>Nirmal</t>
  </si>
  <si>
    <t>Nizamabad</t>
  </si>
  <si>
    <t>Peddapalli</t>
  </si>
  <si>
    <t>Rajanna Sircilla</t>
  </si>
  <si>
    <t>Rangareddy</t>
  </si>
  <si>
    <t>Sangareddy</t>
  </si>
  <si>
    <t>Siddipet</t>
  </si>
  <si>
    <t>Suryapet</t>
  </si>
  <si>
    <t>Vikarabad</t>
  </si>
  <si>
    <t>Wanaparthy</t>
  </si>
  <si>
    <t>Warangal</t>
  </si>
  <si>
    <t>Yadadri Bhuvanagiri</t>
  </si>
  <si>
    <t>Sum of Petrol Consumption (KL)</t>
  </si>
  <si>
    <t>Sum of Diesel Consumption (KL)</t>
  </si>
  <si>
    <t>Total Fuel Consumption (2023-2026)</t>
  </si>
  <si>
    <t>Petrol vs Diesel Price Trend (2023–2026)</t>
  </si>
  <si>
    <t>Average of Petrol Price (INR/Litre)</t>
  </si>
  <si>
    <t>Average of Diesel Price (INR/Litre)</t>
  </si>
  <si>
    <t>S</t>
  </si>
  <si>
    <t>District</t>
  </si>
  <si>
    <t>Petrol Price (INR/Litre)</t>
  </si>
  <si>
    <t>Diesel Price (INR/Litre)</t>
  </si>
  <si>
    <t>Petrol Consumption (KL)</t>
  </si>
  <si>
    <t>Diesel Consumption (KL)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</si>
</sst>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1"/>
      <color rgb="FF000000"/>
      <name val="Calibri"/>
      <family val="2"/>
    </font>
    <font>
      <b/>
      <u val="double"/>
      <sz val="11"/>
      <color rgb="FF000000"/>
      <name val="Calibri"/>
      <family val="2"/>
    </font>
    <font>
      <u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/>
    <xf numFmtId="0" fontId="3" fillId="0" borderId="0" xfId="0" applyFont="1"/>
    <xf numFmtId="0" fontId="4" fillId="0" borderId="1" xfId="0" applyFont="1" applyBorder="1"/>
    <xf numFmtId="0" fontId="5" fillId="0" borderId="1" xfId="0" applyFont="1" applyBorder="1"/>
    <xf numFmtId="0" fontId="6" fillId="0" borderId="0" xfId="0" applyFont="1"/>
    <xf numFmtId="0" fontId="1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2" xfId="0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FUEL</a:t>
            </a:r>
            <a:r>
              <a:rPr lang="en-IN" baseline="0"/>
              <a:t> CONSUMPTION IN TELANGANA</a:t>
            </a:r>
            <a:endParaRPr lang="en-IN"/>
          </a:p>
        </c:rich>
      </c:tx>
      <c:layout>
        <c:manualLayout>
          <c:xMode val="edge"/>
          <c:yMode val="edge"/>
          <c:x val="0.2060005325542858"/>
          <c:y val="3.26819371087771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13463663815234134"/>
          <c:y val="0.17926684650069571"/>
          <c:w val="0.84049672360829497"/>
          <c:h val="0.59843363241396741"/>
        </c:manualLayout>
      </c:layout>
      <c:lineChart>
        <c:grouping val="standard"/>
        <c:varyColors val="0"/>
        <c:ser>
          <c:idx val="0"/>
          <c:order val="0"/>
          <c:tx>
            <c:strRef>
              <c:f>Sheet2!$H$1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Sheet2!$H$2:$H$5</c:f>
              <c:numCache>
                <c:formatCode>General</c:formatCod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11-48EE-8C16-1F50546F9911}"/>
            </c:ext>
          </c:extLst>
        </c:ser>
        <c:ser>
          <c:idx val="1"/>
          <c:order val="1"/>
          <c:tx>
            <c:strRef>
              <c:f>Sheet2!$I$1</c:f>
              <c:strCache>
                <c:ptCount val="1"/>
                <c:pt idx="0">
                  <c:v>Total fuel consumption(KL)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Sheet2!$I$2:$I$5</c:f>
              <c:numCache>
                <c:formatCode>General</c:formatCode>
                <c:ptCount val="4"/>
                <c:pt idx="0">
                  <c:v>4963000</c:v>
                </c:pt>
                <c:pt idx="1">
                  <c:v>5175655</c:v>
                </c:pt>
                <c:pt idx="2">
                  <c:v>5449981</c:v>
                </c:pt>
                <c:pt idx="3">
                  <c:v>5587145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11-48EE-8C16-1F50546F9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0134256"/>
        <c:axId val="2054502704"/>
      </c:lineChart>
      <c:catAx>
        <c:axId val="206013425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502704"/>
        <c:crosses val="autoZero"/>
        <c:auto val="1"/>
        <c:lblAlgn val="ctr"/>
        <c:lblOffset val="100"/>
        <c:noMultiLvlLbl val="0"/>
      </c:catAx>
      <c:valAx>
        <c:axId val="20545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134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FUEL.xlsx]Sheet2!PivotTable1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Sheet2!$A$5:$A$38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Sheet2!$B$5:$B$38</c:f>
              <c:numCache>
                <c:formatCode>General</c:formatCode>
                <c:ptCount val="33"/>
                <c:pt idx="0">
                  <c:v>104000</c:v>
                </c:pt>
                <c:pt idx="1">
                  <c:v>92000</c:v>
                </c:pt>
                <c:pt idx="2">
                  <c:v>109000</c:v>
                </c:pt>
                <c:pt idx="3">
                  <c:v>466000</c:v>
                </c:pt>
                <c:pt idx="4">
                  <c:v>104000</c:v>
                </c:pt>
                <c:pt idx="5">
                  <c:v>94000</c:v>
                </c:pt>
                <c:pt idx="6">
                  <c:v>87000</c:v>
                </c:pt>
                <c:pt idx="7">
                  <c:v>69000</c:v>
                </c:pt>
                <c:pt idx="8">
                  <c:v>105000</c:v>
                </c:pt>
                <c:pt idx="9">
                  <c:v>157000</c:v>
                </c:pt>
                <c:pt idx="10">
                  <c:v>236000</c:v>
                </c:pt>
                <c:pt idx="11">
                  <c:v>95000</c:v>
                </c:pt>
                <c:pt idx="12">
                  <c:v>107000</c:v>
                </c:pt>
                <c:pt idx="13">
                  <c:v>111000</c:v>
                </c:pt>
                <c:pt idx="14">
                  <c:v>108000</c:v>
                </c:pt>
                <c:pt idx="15">
                  <c:v>102000</c:v>
                </c:pt>
                <c:pt idx="16">
                  <c:v>511000</c:v>
                </c:pt>
                <c:pt idx="17">
                  <c:v>107000</c:v>
                </c:pt>
                <c:pt idx="18">
                  <c:v>82000</c:v>
                </c:pt>
                <c:pt idx="19">
                  <c:v>220000</c:v>
                </c:pt>
                <c:pt idx="20">
                  <c:v>87000</c:v>
                </c:pt>
                <c:pt idx="21">
                  <c:v>82000</c:v>
                </c:pt>
                <c:pt idx="22">
                  <c:v>208000</c:v>
                </c:pt>
                <c:pt idx="23">
                  <c:v>67000</c:v>
                </c:pt>
                <c:pt idx="24">
                  <c:v>74000</c:v>
                </c:pt>
                <c:pt idx="25">
                  <c:v>512000</c:v>
                </c:pt>
                <c:pt idx="26">
                  <c:v>220000</c:v>
                </c:pt>
                <c:pt idx="27">
                  <c:v>77000</c:v>
                </c:pt>
                <c:pt idx="28">
                  <c:v>123000</c:v>
                </c:pt>
                <c:pt idx="29">
                  <c:v>80000</c:v>
                </c:pt>
                <c:pt idx="30">
                  <c:v>110000</c:v>
                </c:pt>
                <c:pt idx="31">
                  <c:v>120000</c:v>
                </c:pt>
                <c:pt idx="32">
                  <c:v>137000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67-401C-82C1-14E59A8E0B49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Sheet2!$A$5:$A$38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Sheet2!$C$5:$C$38</c:f>
              <c:numCache>
                <c:formatCode>General</c:formatCode>
                <c:ptCount val="33"/>
                <c:pt idx="0">
                  <c:v>108002</c:v>
                </c:pt>
                <c:pt idx="1">
                  <c:v>95795</c:v>
                </c:pt>
                <c:pt idx="2">
                  <c:v>112889</c:v>
                </c:pt>
                <c:pt idx="3">
                  <c:v>480331</c:v>
                </c:pt>
                <c:pt idx="4">
                  <c:v>107605</c:v>
                </c:pt>
                <c:pt idx="5">
                  <c:v>98842</c:v>
                </c:pt>
                <c:pt idx="6">
                  <c:v>90243</c:v>
                </c:pt>
                <c:pt idx="7">
                  <c:v>71235</c:v>
                </c:pt>
                <c:pt idx="8">
                  <c:v>108960</c:v>
                </c:pt>
                <c:pt idx="9">
                  <c:v>162774</c:v>
                </c:pt>
                <c:pt idx="10">
                  <c:v>249249</c:v>
                </c:pt>
                <c:pt idx="11">
                  <c:v>100130</c:v>
                </c:pt>
                <c:pt idx="12">
                  <c:v>110931</c:v>
                </c:pt>
                <c:pt idx="13">
                  <c:v>115762</c:v>
                </c:pt>
                <c:pt idx="14">
                  <c:v>112900</c:v>
                </c:pt>
                <c:pt idx="15">
                  <c:v>105188</c:v>
                </c:pt>
                <c:pt idx="16">
                  <c:v>530896</c:v>
                </c:pt>
                <c:pt idx="17">
                  <c:v>112278</c:v>
                </c:pt>
                <c:pt idx="18">
                  <c:v>86196</c:v>
                </c:pt>
                <c:pt idx="19">
                  <c:v>230885</c:v>
                </c:pt>
                <c:pt idx="20">
                  <c:v>92089</c:v>
                </c:pt>
                <c:pt idx="21">
                  <c:v>85572</c:v>
                </c:pt>
                <c:pt idx="22">
                  <c:v>220349</c:v>
                </c:pt>
                <c:pt idx="23">
                  <c:v>69734</c:v>
                </c:pt>
                <c:pt idx="24">
                  <c:v>77213</c:v>
                </c:pt>
                <c:pt idx="25">
                  <c:v>532051</c:v>
                </c:pt>
                <c:pt idx="26">
                  <c:v>230715</c:v>
                </c:pt>
                <c:pt idx="27">
                  <c:v>79658</c:v>
                </c:pt>
                <c:pt idx="28">
                  <c:v>128640</c:v>
                </c:pt>
                <c:pt idx="29">
                  <c:v>83661</c:v>
                </c:pt>
                <c:pt idx="30">
                  <c:v>114066</c:v>
                </c:pt>
                <c:pt idx="31">
                  <c:v>126311</c:v>
                </c:pt>
                <c:pt idx="32">
                  <c:v>144505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67-401C-82C1-14E59A8E0B49}"/>
            </c:ext>
          </c:extLst>
        </c:ser>
        <c:ser>
          <c:idx val="2"/>
          <c:order val="2"/>
          <c:tx>
            <c:strRef>
              <c:f>Sheet2!$D$3:$D$4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Sheet2!$A$5:$A$38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Sheet2!$D$5:$D$38</c:f>
              <c:numCache>
                <c:formatCode>General</c:formatCode>
                <c:ptCount val="33"/>
                <c:pt idx="0">
                  <c:v>115203</c:v>
                </c:pt>
                <c:pt idx="1">
                  <c:v>97766</c:v>
                </c:pt>
                <c:pt idx="2">
                  <c:v>116728</c:v>
                </c:pt>
                <c:pt idx="3">
                  <c:v>521173</c:v>
                </c:pt>
                <c:pt idx="4">
                  <c:v>116078</c:v>
                </c:pt>
                <c:pt idx="5">
                  <c:v>99824</c:v>
                </c:pt>
                <c:pt idx="6">
                  <c:v>93746</c:v>
                </c:pt>
                <c:pt idx="7">
                  <c:v>76447</c:v>
                </c:pt>
                <c:pt idx="8">
                  <c:v>111319</c:v>
                </c:pt>
                <c:pt idx="9">
                  <c:v>173665</c:v>
                </c:pt>
                <c:pt idx="10">
                  <c:v>254519</c:v>
                </c:pt>
                <c:pt idx="11">
                  <c:v>101794</c:v>
                </c:pt>
                <c:pt idx="12">
                  <c:v>117327</c:v>
                </c:pt>
                <c:pt idx="13">
                  <c:v>121582</c:v>
                </c:pt>
                <c:pt idx="14">
                  <c:v>120520</c:v>
                </c:pt>
                <c:pt idx="15">
                  <c:v>111960</c:v>
                </c:pt>
                <c:pt idx="16">
                  <c:v>564465</c:v>
                </c:pt>
                <c:pt idx="17">
                  <c:v>119725</c:v>
                </c:pt>
                <c:pt idx="18">
                  <c:v>90572</c:v>
                </c:pt>
                <c:pt idx="19">
                  <c:v>237193</c:v>
                </c:pt>
                <c:pt idx="20">
                  <c:v>94549</c:v>
                </c:pt>
                <c:pt idx="21">
                  <c:v>87637</c:v>
                </c:pt>
                <c:pt idx="22">
                  <c:v>231885</c:v>
                </c:pt>
                <c:pt idx="23">
                  <c:v>72330</c:v>
                </c:pt>
                <c:pt idx="24">
                  <c:v>79852</c:v>
                </c:pt>
                <c:pt idx="25">
                  <c:v>570474</c:v>
                </c:pt>
                <c:pt idx="26">
                  <c:v>242729</c:v>
                </c:pt>
                <c:pt idx="27">
                  <c:v>82245</c:v>
                </c:pt>
                <c:pt idx="28">
                  <c:v>131701</c:v>
                </c:pt>
                <c:pt idx="29">
                  <c:v>89525</c:v>
                </c:pt>
                <c:pt idx="30">
                  <c:v>119810</c:v>
                </c:pt>
                <c:pt idx="31">
                  <c:v>133454</c:v>
                </c:pt>
                <c:pt idx="32">
                  <c:v>152184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67-401C-82C1-14E59A8E0B49}"/>
            </c:ext>
          </c:extLst>
        </c:ser>
        <c:ser>
          <c:idx val="3"/>
          <c:order val="3"/>
          <c:tx>
            <c:strRef>
              <c:f>Sheet2!$E$3:$E$4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Sheet2!$A$5:$A$38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Sheet2!$E$5:$E$38</c:f>
              <c:numCache>
                <c:formatCode>General</c:formatCode>
                <c:ptCount val="33"/>
                <c:pt idx="0">
                  <c:v>119179</c:v>
                </c:pt>
                <c:pt idx="1">
                  <c:v>104836</c:v>
                </c:pt>
                <c:pt idx="2">
                  <c:v>119582</c:v>
                </c:pt>
                <c:pt idx="3">
                  <c:v>526582</c:v>
                </c:pt>
                <c:pt idx="4">
                  <c:v>114980</c:v>
                </c:pt>
                <c:pt idx="5">
                  <c:v>105385</c:v>
                </c:pt>
                <c:pt idx="6">
                  <c:v>99391</c:v>
                </c:pt>
                <c:pt idx="7">
                  <c:v>80644</c:v>
                </c:pt>
                <c:pt idx="8">
                  <c:v>116999</c:v>
                </c:pt>
                <c:pt idx="9">
                  <c:v>179414</c:v>
                </c:pt>
                <c:pt idx="10">
                  <c:v>262165</c:v>
                </c:pt>
                <c:pt idx="11">
                  <c:v>104880</c:v>
                </c:pt>
                <c:pt idx="12">
                  <c:v>122292</c:v>
                </c:pt>
                <c:pt idx="13">
                  <c:v>124162</c:v>
                </c:pt>
                <c:pt idx="14">
                  <c:v>120018</c:v>
                </c:pt>
                <c:pt idx="15">
                  <c:v>111416</c:v>
                </c:pt>
                <c:pt idx="16">
                  <c:v>563399</c:v>
                </c:pt>
                <c:pt idx="17">
                  <c:v>118805</c:v>
                </c:pt>
                <c:pt idx="18">
                  <c:v>96173</c:v>
                </c:pt>
                <c:pt idx="19">
                  <c:v>239952</c:v>
                </c:pt>
                <c:pt idx="20">
                  <c:v>98386</c:v>
                </c:pt>
                <c:pt idx="21">
                  <c:v>94382</c:v>
                </c:pt>
                <c:pt idx="22">
                  <c:v>237141</c:v>
                </c:pt>
                <c:pt idx="23">
                  <c:v>78056</c:v>
                </c:pt>
                <c:pt idx="24">
                  <c:v>81391</c:v>
                </c:pt>
                <c:pt idx="25">
                  <c:v>586544</c:v>
                </c:pt>
                <c:pt idx="26">
                  <c:v>243952</c:v>
                </c:pt>
                <c:pt idx="27">
                  <c:v>87494</c:v>
                </c:pt>
                <c:pt idx="28">
                  <c:v>137418</c:v>
                </c:pt>
                <c:pt idx="29">
                  <c:v>89498</c:v>
                </c:pt>
                <c:pt idx="30">
                  <c:v>125646</c:v>
                </c:pt>
                <c:pt idx="31">
                  <c:v>139189</c:v>
                </c:pt>
                <c:pt idx="32">
                  <c:v>157794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67-401C-82C1-14E59A8E0B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2485392"/>
        <c:axId val="2054496944"/>
      </c:barChart>
      <c:catAx>
        <c:axId val="159248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496944"/>
        <c:crosses val="autoZero"/>
        <c:auto val="1"/>
        <c:lblAlgn val="ctr"/>
        <c:lblOffset val="100"/>
        <c:tickLblSkip val="1"/>
        <c:noMultiLvlLbl val="0"/>
      </c:catAx>
      <c:valAx>
        <c:axId val="2054496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2485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FUEL.xlsx]Sheet3!PivotTable1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Petrol Consumption (KL)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Sheet3!$A$4:$A$37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Sheet3!$B$4:$B$37</c:f>
              <c:numCache>
                <c:formatCode>General</c:formatCode>
                <c:ptCount val="33"/>
                <c:pt idx="0">
                  <c:v>171686</c:v>
                </c:pt>
                <c:pt idx="1">
                  <c:v>89112</c:v>
                </c:pt>
                <c:pt idx="2">
                  <c:v>109295</c:v>
                </c:pt>
                <c:pt idx="3">
                  <c:v>941414</c:v>
                </c:pt>
                <c:pt idx="4">
                  <c:v>148973</c:v>
                </c:pt>
                <c:pt idx="5">
                  <c:v>182087</c:v>
                </c:pt>
                <c:pt idx="6">
                  <c:v>102174</c:v>
                </c:pt>
                <c:pt idx="7">
                  <c:v>107727</c:v>
                </c:pt>
                <c:pt idx="8">
                  <c:v>92668</c:v>
                </c:pt>
                <c:pt idx="9">
                  <c:v>269998</c:v>
                </c:pt>
                <c:pt idx="10">
                  <c:v>352375</c:v>
                </c:pt>
                <c:pt idx="11">
                  <c:v>219935</c:v>
                </c:pt>
                <c:pt idx="12">
                  <c:v>209532</c:v>
                </c:pt>
                <c:pt idx="13">
                  <c:v>170272</c:v>
                </c:pt>
                <c:pt idx="14">
                  <c:v>230719</c:v>
                </c:pt>
                <c:pt idx="15">
                  <c:v>143522</c:v>
                </c:pt>
                <c:pt idx="16">
                  <c:v>840728</c:v>
                </c:pt>
                <c:pt idx="17">
                  <c:v>196815</c:v>
                </c:pt>
                <c:pt idx="18">
                  <c:v>151499</c:v>
                </c:pt>
                <c:pt idx="19">
                  <c:v>299501</c:v>
                </c:pt>
                <c:pt idx="20">
                  <c:v>171046</c:v>
                </c:pt>
                <c:pt idx="21">
                  <c:v>166269</c:v>
                </c:pt>
                <c:pt idx="22">
                  <c:v>409859</c:v>
                </c:pt>
                <c:pt idx="23">
                  <c:v>85707</c:v>
                </c:pt>
                <c:pt idx="24">
                  <c:v>88670</c:v>
                </c:pt>
                <c:pt idx="25">
                  <c:v>919978</c:v>
                </c:pt>
                <c:pt idx="26">
                  <c:v>259914</c:v>
                </c:pt>
                <c:pt idx="27">
                  <c:v>114451</c:v>
                </c:pt>
                <c:pt idx="28">
                  <c:v>228626</c:v>
                </c:pt>
                <c:pt idx="29">
                  <c:v>89954</c:v>
                </c:pt>
                <c:pt idx="30">
                  <c:v>119515</c:v>
                </c:pt>
                <c:pt idx="31">
                  <c:v>181634</c:v>
                </c:pt>
                <c:pt idx="32">
                  <c:v>233139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6D-482D-A1D8-FC954AD4CDFC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Diesel Consumption (KL)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Sheet3!$A$4:$A$37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Sheet3!$C$4:$C$37</c:f>
              <c:numCache>
                <c:formatCode>General</c:formatCode>
                <c:ptCount val="33"/>
                <c:pt idx="0">
                  <c:v>274698</c:v>
                </c:pt>
                <c:pt idx="1">
                  <c:v>301285</c:v>
                </c:pt>
                <c:pt idx="2">
                  <c:v>348904</c:v>
                </c:pt>
                <c:pt idx="3">
                  <c:v>1052672</c:v>
                </c:pt>
                <c:pt idx="4">
                  <c:v>293690</c:v>
                </c:pt>
                <c:pt idx="5">
                  <c:v>215964</c:v>
                </c:pt>
                <c:pt idx="6">
                  <c:v>268206</c:v>
                </c:pt>
                <c:pt idx="7">
                  <c:v>189599</c:v>
                </c:pt>
                <c:pt idx="8">
                  <c:v>349610</c:v>
                </c:pt>
                <c:pt idx="9">
                  <c:v>402855</c:v>
                </c:pt>
                <c:pt idx="10">
                  <c:v>649558</c:v>
                </c:pt>
                <c:pt idx="11">
                  <c:v>181869</c:v>
                </c:pt>
                <c:pt idx="12">
                  <c:v>248018</c:v>
                </c:pt>
                <c:pt idx="13">
                  <c:v>302234</c:v>
                </c:pt>
                <c:pt idx="14">
                  <c:v>230719</c:v>
                </c:pt>
                <c:pt idx="15">
                  <c:v>287042</c:v>
                </c:pt>
                <c:pt idx="16">
                  <c:v>1329032</c:v>
                </c:pt>
                <c:pt idx="17">
                  <c:v>260993</c:v>
                </c:pt>
                <c:pt idx="18">
                  <c:v>203442</c:v>
                </c:pt>
                <c:pt idx="19">
                  <c:v>628529</c:v>
                </c:pt>
                <c:pt idx="20">
                  <c:v>200978</c:v>
                </c:pt>
                <c:pt idx="21">
                  <c:v>183322</c:v>
                </c:pt>
                <c:pt idx="22">
                  <c:v>487516</c:v>
                </c:pt>
                <c:pt idx="23">
                  <c:v>201413</c:v>
                </c:pt>
                <c:pt idx="24">
                  <c:v>223786</c:v>
                </c:pt>
                <c:pt idx="25">
                  <c:v>1281091</c:v>
                </c:pt>
                <c:pt idx="26">
                  <c:v>677482</c:v>
                </c:pt>
                <c:pt idx="27">
                  <c:v>211946</c:v>
                </c:pt>
                <c:pt idx="28">
                  <c:v>292133</c:v>
                </c:pt>
                <c:pt idx="29">
                  <c:v>252730</c:v>
                </c:pt>
                <c:pt idx="30">
                  <c:v>350007</c:v>
                </c:pt>
                <c:pt idx="31">
                  <c:v>337320</c:v>
                </c:pt>
                <c:pt idx="32">
                  <c:v>358344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6D-482D-A1D8-FC954AD4C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9862656"/>
        <c:axId val="111810448"/>
      </c:barChart>
      <c:catAx>
        <c:axId val="68986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810448"/>
        <c:crosses val="autoZero"/>
        <c:auto val="1"/>
        <c:lblAlgn val="ctr"/>
        <c:lblOffset val="100"/>
        <c:noMultiLvlLbl val="0"/>
      </c:catAx>
      <c:valAx>
        <c:axId val="11181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986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FUEL.xlsx]Sheet4!PivotTable1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Sheet4!$B$3</c:f>
              <c:strCache>
                <c:ptCount val="1"/>
                <c:pt idx="0">
                  <c:v>Sum of Petrol Consumption (KL)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Sheet4!$B$4:$B$8</c:f>
              <c:numCache>
                <c:formatCode>General</c:formatCode>
                <c:ptCount val="4"/>
                <c:pt idx="0">
                  <c:v>1897000</c:v>
                </c:pt>
                <c:pt idx="1">
                  <c:v>1978488</c:v>
                </c:pt>
                <c:pt idx="2">
                  <c:v>2085968</c:v>
                </c:pt>
                <c:pt idx="3">
                  <c:v>2137338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44-4D8B-AC03-24DA6DC28B4F}"/>
            </c:ext>
          </c:extLst>
        </c:ser>
        <c:ser>
          <c:idx val="1"/>
          <c:order val="1"/>
          <c:tx>
            <c:strRef>
              <c:f>Sheet4!$C$3</c:f>
              <c:strCache>
                <c:ptCount val="1"/>
                <c:pt idx="0">
                  <c:v>Sum of Diesel Consumption (KL)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Sheet4!$A$4:$A$8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Sheet4!$C$4:$C$8</c:f>
              <c:numCache>
                <c:formatCode>General</c:formatCode>
                <c:ptCount val="4"/>
                <c:pt idx="0">
                  <c:v>3066000</c:v>
                </c:pt>
                <c:pt idx="1">
                  <c:v>3197167</c:v>
                </c:pt>
                <c:pt idx="2">
                  <c:v>3364013</c:v>
                </c:pt>
                <c:pt idx="3">
                  <c:v>3449807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44-4D8B-AC03-24DA6DC28B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9926064"/>
        <c:axId val="461272464"/>
      </c:lineChart>
      <c:catAx>
        <c:axId val="539926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272464"/>
        <c:crosses val="autoZero"/>
        <c:auto val="1"/>
        <c:lblAlgn val="ctr"/>
        <c:lblOffset val="100"/>
        <c:noMultiLvlLbl val="0"/>
      </c:catAx>
      <c:valAx>
        <c:axId val="461272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26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FUEL.xlsx]Sheet4!PivotTable8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Sheet4!$S$1</c:f>
              <c:strCache>
                <c:ptCount val="1"/>
                <c:pt idx="0">
                  <c:v>Average of Petrol Price (INR/Litre)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Sheet4!$R$2:$R$6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Sheet4!$S$2:$S$6</c:f>
              <c:numCache>
                <c:formatCode>General</c:formatCode>
                <c:ptCount val="4"/>
                <c:pt idx="0">
                  <c:v>109.66757575757573</c:v>
                </c:pt>
                <c:pt idx="1">
                  <c:v>107.41757575757573</c:v>
                </c:pt>
                <c:pt idx="2">
                  <c:v>108.50757575757576</c:v>
                </c:pt>
                <c:pt idx="3">
                  <c:v>116.27757575757575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BF-4260-9FB9-9C01467ABF6A}"/>
            </c:ext>
          </c:extLst>
        </c:ser>
        <c:ser>
          <c:idx val="1"/>
          <c:order val="1"/>
          <c:tx>
            <c:strRef>
              <c:f>Sheet4!$T$1</c:f>
              <c:strCache>
                <c:ptCount val="1"/>
                <c:pt idx="0">
                  <c:v>Average of Diesel Price (INR/Litre)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Sheet4!$R$2:$R$6</c:f>
              <c:strCache>
                <c:ptCount val="4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  <c:pt idx="3">
                  <c:v>2026</c:v>
                </c:pt>
              </c:strCache>
            </c:strRef>
          </c:cat>
          <c:val>
            <c:numRef>
              <c:f>Sheet4!$T$2:$T$6</c:f>
              <c:numCache>
                <c:formatCode>General</c:formatCode>
                <c:ptCount val="4"/>
                <c:pt idx="0">
                  <c:v>97.827575757575772</c:v>
                </c:pt>
                <c:pt idx="1">
                  <c:v>95.657575757575813</c:v>
                </c:pt>
                <c:pt idx="2">
                  <c:v>96.557575757575776</c:v>
                </c:pt>
                <c:pt idx="3">
                  <c:v>104.3875757575758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9BF-4260-9FB9-9C01467AB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30289855"/>
        <c:axId val="783968335"/>
      </c:lineChart>
      <c:catAx>
        <c:axId val="14302898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968335"/>
        <c:crosses val="autoZero"/>
        <c:auto val="1"/>
        <c:lblAlgn val="ctr"/>
        <c:lblOffset val="100"/>
        <c:noMultiLvlLbl val="0"/>
      </c:catAx>
      <c:valAx>
        <c:axId val="783968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2898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FUEL.xlsx]Sheet5!PivotTable1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Sheet5!$B$3:$B$4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Sheet5!$B$5:$B$38</c:f>
              <c:numCache>
                <c:formatCode>General</c:formatCode>
                <c:ptCount val="33"/>
                <c:pt idx="0">
                  <c:v>40000</c:v>
                </c:pt>
                <c:pt idx="1">
                  <c:v>21000</c:v>
                </c:pt>
                <c:pt idx="2">
                  <c:v>26000</c:v>
                </c:pt>
                <c:pt idx="3">
                  <c:v>220000</c:v>
                </c:pt>
                <c:pt idx="4">
                  <c:v>35000</c:v>
                </c:pt>
                <c:pt idx="5">
                  <c:v>43000</c:v>
                </c:pt>
                <c:pt idx="6">
                  <c:v>24000</c:v>
                </c:pt>
                <c:pt idx="7">
                  <c:v>25000</c:v>
                </c:pt>
                <c:pt idx="8">
                  <c:v>22000</c:v>
                </c:pt>
                <c:pt idx="9">
                  <c:v>63000</c:v>
                </c:pt>
                <c:pt idx="10">
                  <c:v>83000</c:v>
                </c:pt>
                <c:pt idx="11">
                  <c:v>52000</c:v>
                </c:pt>
                <c:pt idx="12">
                  <c:v>49000</c:v>
                </c:pt>
                <c:pt idx="13">
                  <c:v>40000</c:v>
                </c:pt>
                <c:pt idx="14">
                  <c:v>54000</c:v>
                </c:pt>
                <c:pt idx="15">
                  <c:v>34000</c:v>
                </c:pt>
                <c:pt idx="16">
                  <c:v>198000</c:v>
                </c:pt>
                <c:pt idx="17">
                  <c:v>46000</c:v>
                </c:pt>
                <c:pt idx="18">
                  <c:v>35000</c:v>
                </c:pt>
                <c:pt idx="19">
                  <c:v>71000</c:v>
                </c:pt>
                <c:pt idx="20">
                  <c:v>40000</c:v>
                </c:pt>
                <c:pt idx="21">
                  <c:v>39000</c:v>
                </c:pt>
                <c:pt idx="22">
                  <c:v>95000</c:v>
                </c:pt>
                <c:pt idx="23">
                  <c:v>20000</c:v>
                </c:pt>
                <c:pt idx="24">
                  <c:v>21000</c:v>
                </c:pt>
                <c:pt idx="25">
                  <c:v>214000</c:v>
                </c:pt>
                <c:pt idx="26">
                  <c:v>61000</c:v>
                </c:pt>
                <c:pt idx="27">
                  <c:v>27000</c:v>
                </c:pt>
                <c:pt idx="28">
                  <c:v>54000</c:v>
                </c:pt>
                <c:pt idx="29">
                  <c:v>21000</c:v>
                </c:pt>
                <c:pt idx="30">
                  <c:v>28000</c:v>
                </c:pt>
                <c:pt idx="31">
                  <c:v>42000</c:v>
                </c:pt>
                <c:pt idx="32">
                  <c:v>54000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5C-4AE3-AC3A-6819050889DF}"/>
            </c:ext>
          </c:extLst>
        </c:ser>
        <c:ser>
          <c:idx val="1"/>
          <c:order val="1"/>
          <c:tx>
            <c:strRef>
              <c:f>Sheet5!$C$3:$C$4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Sheet5!$C$5:$C$38</c:f>
              <c:numCache>
                <c:formatCode>General</c:formatCode>
                <c:ptCount val="33"/>
                <c:pt idx="0">
                  <c:v>41539</c:v>
                </c:pt>
                <c:pt idx="1">
                  <c:v>21866</c:v>
                </c:pt>
                <c:pt idx="2">
                  <c:v>26928</c:v>
                </c:pt>
                <c:pt idx="3">
                  <c:v>226766</c:v>
                </c:pt>
                <c:pt idx="4">
                  <c:v>36213</c:v>
                </c:pt>
                <c:pt idx="5">
                  <c:v>45215</c:v>
                </c:pt>
                <c:pt idx="6">
                  <c:v>24895</c:v>
                </c:pt>
                <c:pt idx="7">
                  <c:v>25810</c:v>
                </c:pt>
                <c:pt idx="8">
                  <c:v>22830</c:v>
                </c:pt>
                <c:pt idx="9">
                  <c:v>65317</c:v>
                </c:pt>
                <c:pt idx="10">
                  <c:v>87660</c:v>
                </c:pt>
                <c:pt idx="11">
                  <c:v>54808</c:v>
                </c:pt>
                <c:pt idx="12">
                  <c:v>50800</c:v>
                </c:pt>
                <c:pt idx="13">
                  <c:v>41716</c:v>
                </c:pt>
                <c:pt idx="14">
                  <c:v>56450</c:v>
                </c:pt>
                <c:pt idx="15">
                  <c:v>35063</c:v>
                </c:pt>
                <c:pt idx="16">
                  <c:v>205709</c:v>
                </c:pt>
                <c:pt idx="17">
                  <c:v>48269</c:v>
                </c:pt>
                <c:pt idx="18">
                  <c:v>36791</c:v>
                </c:pt>
                <c:pt idx="19">
                  <c:v>74513</c:v>
                </c:pt>
                <c:pt idx="20">
                  <c:v>42340</c:v>
                </c:pt>
                <c:pt idx="21">
                  <c:v>40699</c:v>
                </c:pt>
                <c:pt idx="22">
                  <c:v>100640</c:v>
                </c:pt>
                <c:pt idx="23">
                  <c:v>20816</c:v>
                </c:pt>
                <c:pt idx="24">
                  <c:v>21912</c:v>
                </c:pt>
                <c:pt idx="25">
                  <c:v>222381</c:v>
                </c:pt>
                <c:pt idx="26">
                  <c:v>63971</c:v>
                </c:pt>
                <c:pt idx="27">
                  <c:v>27932</c:v>
                </c:pt>
                <c:pt idx="28">
                  <c:v>56476</c:v>
                </c:pt>
                <c:pt idx="29">
                  <c:v>21961</c:v>
                </c:pt>
                <c:pt idx="30">
                  <c:v>29035</c:v>
                </c:pt>
                <c:pt idx="31">
                  <c:v>44209</c:v>
                </c:pt>
                <c:pt idx="32">
                  <c:v>56958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5C-4AE3-AC3A-6819050889DF}"/>
            </c:ext>
          </c:extLst>
        </c:ser>
        <c:ser>
          <c:idx val="2"/>
          <c:order val="2"/>
          <c:tx>
            <c:strRef>
              <c:f>Sheet5!$D$3:$D$4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Sheet5!$D$5:$D$38</c:f>
              <c:numCache>
                <c:formatCode>General</c:formatCode>
                <c:ptCount val="33"/>
                <c:pt idx="0">
                  <c:v>44309</c:v>
                </c:pt>
                <c:pt idx="1">
                  <c:v>22316</c:v>
                </c:pt>
                <c:pt idx="2">
                  <c:v>27843</c:v>
                </c:pt>
                <c:pt idx="3">
                  <c:v>246047</c:v>
                </c:pt>
                <c:pt idx="4">
                  <c:v>39065</c:v>
                </c:pt>
                <c:pt idx="5">
                  <c:v>45664</c:v>
                </c:pt>
                <c:pt idx="6">
                  <c:v>25861</c:v>
                </c:pt>
                <c:pt idx="7">
                  <c:v>27698</c:v>
                </c:pt>
                <c:pt idx="8">
                  <c:v>23324</c:v>
                </c:pt>
                <c:pt idx="9">
                  <c:v>69687</c:v>
                </c:pt>
                <c:pt idx="10">
                  <c:v>89513</c:v>
                </c:pt>
                <c:pt idx="11">
                  <c:v>55719</c:v>
                </c:pt>
                <c:pt idx="12">
                  <c:v>53729</c:v>
                </c:pt>
                <c:pt idx="13">
                  <c:v>43813</c:v>
                </c:pt>
                <c:pt idx="14">
                  <c:v>60260</c:v>
                </c:pt>
                <c:pt idx="15">
                  <c:v>37320</c:v>
                </c:pt>
                <c:pt idx="16">
                  <c:v>218716</c:v>
                </c:pt>
                <c:pt idx="17">
                  <c:v>51471</c:v>
                </c:pt>
                <c:pt idx="18">
                  <c:v>38659</c:v>
                </c:pt>
                <c:pt idx="19">
                  <c:v>76549</c:v>
                </c:pt>
                <c:pt idx="20">
                  <c:v>43471</c:v>
                </c:pt>
                <c:pt idx="21">
                  <c:v>41681</c:v>
                </c:pt>
                <c:pt idx="22">
                  <c:v>105909</c:v>
                </c:pt>
                <c:pt idx="23">
                  <c:v>21591</c:v>
                </c:pt>
                <c:pt idx="24">
                  <c:v>22661</c:v>
                </c:pt>
                <c:pt idx="25">
                  <c:v>238440</c:v>
                </c:pt>
                <c:pt idx="26">
                  <c:v>67302</c:v>
                </c:pt>
                <c:pt idx="27">
                  <c:v>28839</c:v>
                </c:pt>
                <c:pt idx="28">
                  <c:v>57820</c:v>
                </c:pt>
                <c:pt idx="29">
                  <c:v>23500</c:v>
                </c:pt>
                <c:pt idx="30">
                  <c:v>30497</c:v>
                </c:pt>
                <c:pt idx="31">
                  <c:v>46709</c:v>
                </c:pt>
                <c:pt idx="32">
                  <c:v>59985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5C-4AE3-AC3A-6819050889DF}"/>
            </c:ext>
          </c:extLst>
        </c:ser>
        <c:ser>
          <c:idx val="3"/>
          <c:order val="3"/>
          <c:tx>
            <c:strRef>
              <c:f>Sheet5!$E$3:$E$4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Sheet5!$A$5:$A$38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Sheet5!$E$5:$E$38</c:f>
              <c:numCache>
                <c:formatCode>General</c:formatCode>
                <c:ptCount val="33"/>
                <c:pt idx="0">
                  <c:v>45838</c:v>
                </c:pt>
                <c:pt idx="1">
                  <c:v>23930</c:v>
                </c:pt>
                <c:pt idx="2">
                  <c:v>28524</c:v>
                </c:pt>
                <c:pt idx="3">
                  <c:v>248601</c:v>
                </c:pt>
                <c:pt idx="4">
                  <c:v>38695</c:v>
                </c:pt>
                <c:pt idx="5">
                  <c:v>48208</c:v>
                </c:pt>
                <c:pt idx="6">
                  <c:v>27418</c:v>
                </c:pt>
                <c:pt idx="7">
                  <c:v>29219</c:v>
                </c:pt>
                <c:pt idx="8">
                  <c:v>24514</c:v>
                </c:pt>
                <c:pt idx="9">
                  <c:v>71994</c:v>
                </c:pt>
                <c:pt idx="10">
                  <c:v>92202</c:v>
                </c:pt>
                <c:pt idx="11">
                  <c:v>57408</c:v>
                </c:pt>
                <c:pt idx="12">
                  <c:v>56003</c:v>
                </c:pt>
                <c:pt idx="13">
                  <c:v>44743</c:v>
                </c:pt>
                <c:pt idx="14">
                  <c:v>60009</c:v>
                </c:pt>
                <c:pt idx="15">
                  <c:v>37139</c:v>
                </c:pt>
                <c:pt idx="16">
                  <c:v>218303</c:v>
                </c:pt>
                <c:pt idx="17">
                  <c:v>51075</c:v>
                </c:pt>
                <c:pt idx="18">
                  <c:v>41049</c:v>
                </c:pt>
                <c:pt idx="19">
                  <c:v>77439</c:v>
                </c:pt>
                <c:pt idx="20">
                  <c:v>45235</c:v>
                </c:pt>
                <c:pt idx="21">
                  <c:v>44889</c:v>
                </c:pt>
                <c:pt idx="22">
                  <c:v>108310</c:v>
                </c:pt>
                <c:pt idx="23">
                  <c:v>23300</c:v>
                </c:pt>
                <c:pt idx="24">
                  <c:v>23097</c:v>
                </c:pt>
                <c:pt idx="25">
                  <c:v>245157</c:v>
                </c:pt>
                <c:pt idx="26">
                  <c:v>67641</c:v>
                </c:pt>
                <c:pt idx="27">
                  <c:v>30680</c:v>
                </c:pt>
                <c:pt idx="28">
                  <c:v>60330</c:v>
                </c:pt>
                <c:pt idx="29">
                  <c:v>23493</c:v>
                </c:pt>
                <c:pt idx="30">
                  <c:v>31983</c:v>
                </c:pt>
                <c:pt idx="31">
                  <c:v>48716</c:v>
                </c:pt>
                <c:pt idx="32">
                  <c:v>62196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95C-4AE3-AC3A-6819050889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0909343"/>
        <c:axId val="784095535"/>
      </c:barChart>
      <c:catAx>
        <c:axId val="800909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95535"/>
        <c:crosses val="autoZero"/>
        <c:auto val="1"/>
        <c:lblAlgn val="ctr"/>
        <c:lblOffset val="100"/>
        <c:noMultiLvlLbl val="0"/>
      </c:catAx>
      <c:valAx>
        <c:axId val="78409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0909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FUEL.xlsx]Sheet5!PivotTable6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Sheet5!$U$1:$U$2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Sheet5!$T$3:$T$36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Sheet5!$U$3:$U$36</c:f>
              <c:numCache>
                <c:formatCode>General</c:formatCode>
                <c:ptCount val="33"/>
                <c:pt idx="0">
                  <c:v>64000</c:v>
                </c:pt>
                <c:pt idx="1">
                  <c:v>71000</c:v>
                </c:pt>
                <c:pt idx="2">
                  <c:v>83000</c:v>
                </c:pt>
                <c:pt idx="3">
                  <c:v>246000</c:v>
                </c:pt>
                <c:pt idx="4">
                  <c:v>69000</c:v>
                </c:pt>
                <c:pt idx="5">
                  <c:v>51000</c:v>
                </c:pt>
                <c:pt idx="6">
                  <c:v>63000</c:v>
                </c:pt>
                <c:pt idx="7">
                  <c:v>44000</c:v>
                </c:pt>
                <c:pt idx="8">
                  <c:v>83000</c:v>
                </c:pt>
                <c:pt idx="9">
                  <c:v>94000</c:v>
                </c:pt>
                <c:pt idx="10">
                  <c:v>153000</c:v>
                </c:pt>
                <c:pt idx="11">
                  <c:v>43000</c:v>
                </c:pt>
                <c:pt idx="12">
                  <c:v>58000</c:v>
                </c:pt>
                <c:pt idx="13">
                  <c:v>71000</c:v>
                </c:pt>
                <c:pt idx="14">
                  <c:v>54000</c:v>
                </c:pt>
                <c:pt idx="15">
                  <c:v>68000</c:v>
                </c:pt>
                <c:pt idx="16">
                  <c:v>313000</c:v>
                </c:pt>
                <c:pt idx="17">
                  <c:v>61000</c:v>
                </c:pt>
                <c:pt idx="18">
                  <c:v>47000</c:v>
                </c:pt>
                <c:pt idx="19">
                  <c:v>149000</c:v>
                </c:pt>
                <c:pt idx="20">
                  <c:v>47000</c:v>
                </c:pt>
                <c:pt idx="21">
                  <c:v>43000</c:v>
                </c:pt>
                <c:pt idx="22">
                  <c:v>113000</c:v>
                </c:pt>
                <c:pt idx="23">
                  <c:v>47000</c:v>
                </c:pt>
                <c:pt idx="24">
                  <c:v>53000</c:v>
                </c:pt>
                <c:pt idx="25">
                  <c:v>298000</c:v>
                </c:pt>
                <c:pt idx="26">
                  <c:v>159000</c:v>
                </c:pt>
                <c:pt idx="27">
                  <c:v>50000</c:v>
                </c:pt>
                <c:pt idx="28">
                  <c:v>69000</c:v>
                </c:pt>
                <c:pt idx="29">
                  <c:v>59000</c:v>
                </c:pt>
                <c:pt idx="30">
                  <c:v>82000</c:v>
                </c:pt>
                <c:pt idx="31">
                  <c:v>78000</c:v>
                </c:pt>
                <c:pt idx="32">
                  <c:v>83000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83-4BF7-88AD-55CB48CCD14D}"/>
            </c:ext>
          </c:extLst>
        </c:ser>
        <c:ser>
          <c:idx val="1"/>
          <c:order val="1"/>
          <c:tx>
            <c:strRef>
              <c:f>Sheet5!$V$1:$V$2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Sheet5!$T$3:$T$36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Sheet5!$V$3:$V$36</c:f>
              <c:numCache>
                <c:formatCode>General</c:formatCode>
                <c:ptCount val="33"/>
                <c:pt idx="0">
                  <c:v>66463</c:v>
                </c:pt>
                <c:pt idx="1">
                  <c:v>73929</c:v>
                </c:pt>
                <c:pt idx="2">
                  <c:v>85961</c:v>
                </c:pt>
                <c:pt idx="3">
                  <c:v>253565</c:v>
                </c:pt>
                <c:pt idx="4">
                  <c:v>71392</c:v>
                </c:pt>
                <c:pt idx="5">
                  <c:v>53627</c:v>
                </c:pt>
                <c:pt idx="6">
                  <c:v>65348</c:v>
                </c:pt>
                <c:pt idx="7">
                  <c:v>45425</c:v>
                </c:pt>
                <c:pt idx="8">
                  <c:v>86130</c:v>
                </c:pt>
                <c:pt idx="9">
                  <c:v>97457</c:v>
                </c:pt>
                <c:pt idx="10">
                  <c:v>161589</c:v>
                </c:pt>
                <c:pt idx="11">
                  <c:v>45322</c:v>
                </c:pt>
                <c:pt idx="12">
                  <c:v>60131</c:v>
                </c:pt>
                <c:pt idx="13">
                  <c:v>74046</c:v>
                </c:pt>
                <c:pt idx="14">
                  <c:v>56450</c:v>
                </c:pt>
                <c:pt idx="15">
                  <c:v>70125</c:v>
                </c:pt>
                <c:pt idx="16">
                  <c:v>325187</c:v>
                </c:pt>
                <c:pt idx="17">
                  <c:v>64009</c:v>
                </c:pt>
                <c:pt idx="18">
                  <c:v>49405</c:v>
                </c:pt>
                <c:pt idx="19">
                  <c:v>156372</c:v>
                </c:pt>
                <c:pt idx="20">
                  <c:v>49749</c:v>
                </c:pt>
                <c:pt idx="21">
                  <c:v>44873</c:v>
                </c:pt>
                <c:pt idx="22">
                  <c:v>119709</c:v>
                </c:pt>
                <c:pt idx="23">
                  <c:v>48918</c:v>
                </c:pt>
                <c:pt idx="24">
                  <c:v>55301</c:v>
                </c:pt>
                <c:pt idx="25">
                  <c:v>309670</c:v>
                </c:pt>
                <c:pt idx="26">
                  <c:v>166744</c:v>
                </c:pt>
                <c:pt idx="27">
                  <c:v>51726</c:v>
                </c:pt>
                <c:pt idx="28">
                  <c:v>72164</c:v>
                </c:pt>
                <c:pt idx="29">
                  <c:v>61700</c:v>
                </c:pt>
                <c:pt idx="30">
                  <c:v>85031</c:v>
                </c:pt>
                <c:pt idx="31">
                  <c:v>82102</c:v>
                </c:pt>
                <c:pt idx="32">
                  <c:v>87547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83-4BF7-88AD-55CB48CCD14D}"/>
            </c:ext>
          </c:extLst>
        </c:ser>
        <c:ser>
          <c:idx val="2"/>
          <c:order val="2"/>
          <c:tx>
            <c:strRef>
              <c:f>Sheet5!$W$1:$W$2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Sheet5!$T$3:$T$36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Sheet5!$W$3:$W$36</c:f>
              <c:numCache>
                <c:formatCode>General</c:formatCode>
                <c:ptCount val="33"/>
                <c:pt idx="0">
                  <c:v>70894</c:v>
                </c:pt>
                <c:pt idx="1">
                  <c:v>75450</c:v>
                </c:pt>
                <c:pt idx="2">
                  <c:v>88885</c:v>
                </c:pt>
                <c:pt idx="3">
                  <c:v>275126</c:v>
                </c:pt>
                <c:pt idx="4">
                  <c:v>77013</c:v>
                </c:pt>
                <c:pt idx="5">
                  <c:v>54160</c:v>
                </c:pt>
                <c:pt idx="6">
                  <c:v>67885</c:v>
                </c:pt>
                <c:pt idx="7">
                  <c:v>48749</c:v>
                </c:pt>
                <c:pt idx="8">
                  <c:v>87995</c:v>
                </c:pt>
                <c:pt idx="9">
                  <c:v>103978</c:v>
                </c:pt>
                <c:pt idx="10">
                  <c:v>165006</c:v>
                </c:pt>
                <c:pt idx="11">
                  <c:v>46075</c:v>
                </c:pt>
                <c:pt idx="12">
                  <c:v>63598</c:v>
                </c:pt>
                <c:pt idx="13">
                  <c:v>77769</c:v>
                </c:pt>
                <c:pt idx="14">
                  <c:v>60260</c:v>
                </c:pt>
                <c:pt idx="15">
                  <c:v>74640</c:v>
                </c:pt>
                <c:pt idx="16">
                  <c:v>345749</c:v>
                </c:pt>
                <c:pt idx="17">
                  <c:v>68254</c:v>
                </c:pt>
                <c:pt idx="18">
                  <c:v>51913</c:v>
                </c:pt>
                <c:pt idx="19">
                  <c:v>160644</c:v>
                </c:pt>
                <c:pt idx="20">
                  <c:v>51078</c:v>
                </c:pt>
                <c:pt idx="21">
                  <c:v>45956</c:v>
                </c:pt>
                <c:pt idx="22">
                  <c:v>125976</c:v>
                </c:pt>
                <c:pt idx="23">
                  <c:v>50739</c:v>
                </c:pt>
                <c:pt idx="24">
                  <c:v>57191</c:v>
                </c:pt>
                <c:pt idx="25">
                  <c:v>332034</c:v>
                </c:pt>
                <c:pt idx="26">
                  <c:v>175427</c:v>
                </c:pt>
                <c:pt idx="27">
                  <c:v>53406</c:v>
                </c:pt>
                <c:pt idx="28">
                  <c:v>73881</c:v>
                </c:pt>
                <c:pt idx="29">
                  <c:v>66025</c:v>
                </c:pt>
                <c:pt idx="30">
                  <c:v>89313</c:v>
                </c:pt>
                <c:pt idx="31">
                  <c:v>86745</c:v>
                </c:pt>
                <c:pt idx="32">
                  <c:v>92199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83-4BF7-88AD-55CB48CCD14D}"/>
            </c:ext>
          </c:extLst>
        </c:ser>
        <c:ser>
          <c:idx val="3"/>
          <c:order val="3"/>
          <c:tx>
            <c:strRef>
              <c:f>Sheet5!$X$1:$X$2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Sheet5!$T$3:$T$36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Sheet5!$X$3:$X$36</c:f>
              <c:numCache>
                <c:formatCode>General</c:formatCode>
                <c:ptCount val="33"/>
                <c:pt idx="0">
                  <c:v>73341</c:v>
                </c:pt>
                <c:pt idx="1">
                  <c:v>80906</c:v>
                </c:pt>
                <c:pt idx="2">
                  <c:v>91058</c:v>
                </c:pt>
                <c:pt idx="3">
                  <c:v>277981</c:v>
                </c:pt>
                <c:pt idx="4">
                  <c:v>76285</c:v>
                </c:pt>
                <c:pt idx="5">
                  <c:v>57177</c:v>
                </c:pt>
                <c:pt idx="6">
                  <c:v>71973</c:v>
                </c:pt>
                <c:pt idx="7">
                  <c:v>51425</c:v>
                </c:pt>
                <c:pt idx="8">
                  <c:v>92485</c:v>
                </c:pt>
                <c:pt idx="9">
                  <c:v>107420</c:v>
                </c:pt>
                <c:pt idx="10">
                  <c:v>169963</c:v>
                </c:pt>
                <c:pt idx="11">
                  <c:v>47472</c:v>
                </c:pt>
                <c:pt idx="12">
                  <c:v>66289</c:v>
                </c:pt>
                <c:pt idx="13">
                  <c:v>79419</c:v>
                </c:pt>
                <c:pt idx="14">
                  <c:v>60009</c:v>
                </c:pt>
                <c:pt idx="15">
                  <c:v>74277</c:v>
                </c:pt>
                <c:pt idx="16">
                  <c:v>345096</c:v>
                </c:pt>
                <c:pt idx="17">
                  <c:v>67730</c:v>
                </c:pt>
                <c:pt idx="18">
                  <c:v>55124</c:v>
                </c:pt>
                <c:pt idx="19">
                  <c:v>162513</c:v>
                </c:pt>
                <c:pt idx="20">
                  <c:v>53151</c:v>
                </c:pt>
                <c:pt idx="21">
                  <c:v>49493</c:v>
                </c:pt>
                <c:pt idx="22">
                  <c:v>128831</c:v>
                </c:pt>
                <c:pt idx="23">
                  <c:v>54756</c:v>
                </c:pt>
                <c:pt idx="24">
                  <c:v>58294</c:v>
                </c:pt>
                <c:pt idx="25">
                  <c:v>341387</c:v>
                </c:pt>
                <c:pt idx="26">
                  <c:v>176311</c:v>
                </c:pt>
                <c:pt idx="27">
                  <c:v>56814</c:v>
                </c:pt>
                <c:pt idx="28">
                  <c:v>77088</c:v>
                </c:pt>
                <c:pt idx="29">
                  <c:v>66005</c:v>
                </c:pt>
                <c:pt idx="30">
                  <c:v>93663</c:v>
                </c:pt>
                <c:pt idx="31">
                  <c:v>90473</c:v>
                </c:pt>
                <c:pt idx="32">
                  <c:v>95598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F83-4BF7-88AD-55CB48CCD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5080895"/>
        <c:axId val="784012015"/>
      </c:barChart>
      <c:catAx>
        <c:axId val="78508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4012015"/>
        <c:crosses val="autoZero"/>
        <c:auto val="1"/>
        <c:lblAlgn val="ctr"/>
        <c:lblOffset val="100"/>
        <c:noMultiLvlLbl val="0"/>
      </c:catAx>
      <c:valAx>
        <c:axId val="784012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5080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FUEL.xlsx]Sheet7!PivotTable9</c:name>
    <c:fmtId val="1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Sheet7!$B$1:$B$2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Sheet7!$A$3:$A$36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Sheet7!$B$3:$B$36</c:f>
              <c:numCache>
                <c:formatCode>General</c:formatCode>
                <c:ptCount val="33"/>
                <c:pt idx="0">
                  <c:v>110.26</c:v>
                </c:pt>
                <c:pt idx="1">
                  <c:v>110.21</c:v>
                </c:pt>
                <c:pt idx="2">
                  <c:v>109.76</c:v>
                </c:pt>
                <c:pt idx="3">
                  <c:v>108.86</c:v>
                </c:pt>
                <c:pt idx="4">
                  <c:v>109.66</c:v>
                </c:pt>
                <c:pt idx="5">
                  <c:v>109.66</c:v>
                </c:pt>
                <c:pt idx="6">
                  <c:v>109.66</c:v>
                </c:pt>
                <c:pt idx="7">
                  <c:v>109.66</c:v>
                </c:pt>
                <c:pt idx="8">
                  <c:v>109.66</c:v>
                </c:pt>
                <c:pt idx="9">
                  <c:v>109.66</c:v>
                </c:pt>
                <c:pt idx="10">
                  <c:v>109.96</c:v>
                </c:pt>
                <c:pt idx="11">
                  <c:v>110.41</c:v>
                </c:pt>
                <c:pt idx="12">
                  <c:v>109.66</c:v>
                </c:pt>
                <c:pt idx="13">
                  <c:v>110.5</c:v>
                </c:pt>
                <c:pt idx="14">
                  <c:v>109.66</c:v>
                </c:pt>
                <c:pt idx="15">
                  <c:v>109.66</c:v>
                </c:pt>
                <c:pt idx="16">
                  <c:v>108.91</c:v>
                </c:pt>
                <c:pt idx="17">
                  <c:v>109.66</c:v>
                </c:pt>
                <c:pt idx="18">
                  <c:v>109.66</c:v>
                </c:pt>
                <c:pt idx="19">
                  <c:v>109.66</c:v>
                </c:pt>
                <c:pt idx="20">
                  <c:v>109.66</c:v>
                </c:pt>
                <c:pt idx="21">
                  <c:v>109.66</c:v>
                </c:pt>
                <c:pt idx="22">
                  <c:v>110.06</c:v>
                </c:pt>
                <c:pt idx="23">
                  <c:v>109.66</c:v>
                </c:pt>
                <c:pt idx="24">
                  <c:v>109.66</c:v>
                </c:pt>
                <c:pt idx="25">
                  <c:v>108.96</c:v>
                </c:pt>
                <c:pt idx="26">
                  <c:v>108.52</c:v>
                </c:pt>
                <c:pt idx="27">
                  <c:v>109.66</c:v>
                </c:pt>
                <c:pt idx="28">
                  <c:v>109.66</c:v>
                </c:pt>
                <c:pt idx="29">
                  <c:v>109.66</c:v>
                </c:pt>
                <c:pt idx="30">
                  <c:v>109.66</c:v>
                </c:pt>
                <c:pt idx="31">
                  <c:v>109.76</c:v>
                </c:pt>
                <c:pt idx="32">
                  <c:v>109.66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CB-44A1-BE7B-1C13BDE21653}"/>
            </c:ext>
          </c:extLst>
        </c:ser>
        <c:ser>
          <c:idx val="1"/>
          <c:order val="1"/>
          <c:tx>
            <c:strRef>
              <c:f>Sheet7!$C$1:$C$2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Sheet7!$A$3:$A$36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Sheet7!$C$3:$C$36</c:f>
              <c:numCache>
                <c:formatCode>General</c:formatCode>
                <c:ptCount val="33"/>
                <c:pt idx="0">
                  <c:v>108.01</c:v>
                </c:pt>
                <c:pt idx="1">
                  <c:v>107.96</c:v>
                </c:pt>
                <c:pt idx="2">
                  <c:v>107.51</c:v>
                </c:pt>
                <c:pt idx="3">
                  <c:v>106.61</c:v>
                </c:pt>
                <c:pt idx="4">
                  <c:v>107.41</c:v>
                </c:pt>
                <c:pt idx="5">
                  <c:v>107.41</c:v>
                </c:pt>
                <c:pt idx="6">
                  <c:v>107.41</c:v>
                </c:pt>
                <c:pt idx="7">
                  <c:v>107.41</c:v>
                </c:pt>
                <c:pt idx="8">
                  <c:v>107.41</c:v>
                </c:pt>
                <c:pt idx="9">
                  <c:v>107.41</c:v>
                </c:pt>
                <c:pt idx="10">
                  <c:v>107.71</c:v>
                </c:pt>
                <c:pt idx="11">
                  <c:v>108.16</c:v>
                </c:pt>
                <c:pt idx="12">
                  <c:v>107.41</c:v>
                </c:pt>
                <c:pt idx="13">
                  <c:v>108.25</c:v>
                </c:pt>
                <c:pt idx="14">
                  <c:v>107.41</c:v>
                </c:pt>
                <c:pt idx="15">
                  <c:v>107.41</c:v>
                </c:pt>
                <c:pt idx="16">
                  <c:v>106.66</c:v>
                </c:pt>
                <c:pt idx="17">
                  <c:v>107.41</c:v>
                </c:pt>
                <c:pt idx="18">
                  <c:v>107.41</c:v>
                </c:pt>
                <c:pt idx="19">
                  <c:v>107.41</c:v>
                </c:pt>
                <c:pt idx="20">
                  <c:v>107.41</c:v>
                </c:pt>
                <c:pt idx="21">
                  <c:v>107.41</c:v>
                </c:pt>
                <c:pt idx="22">
                  <c:v>107.81</c:v>
                </c:pt>
                <c:pt idx="23">
                  <c:v>107.41</c:v>
                </c:pt>
                <c:pt idx="24">
                  <c:v>107.41</c:v>
                </c:pt>
                <c:pt idx="25">
                  <c:v>106.71</c:v>
                </c:pt>
                <c:pt idx="26">
                  <c:v>106.27</c:v>
                </c:pt>
                <c:pt idx="27">
                  <c:v>107.41</c:v>
                </c:pt>
                <c:pt idx="28">
                  <c:v>107.41</c:v>
                </c:pt>
                <c:pt idx="29">
                  <c:v>107.41</c:v>
                </c:pt>
                <c:pt idx="30">
                  <c:v>107.41</c:v>
                </c:pt>
                <c:pt idx="31">
                  <c:v>107.51</c:v>
                </c:pt>
                <c:pt idx="32">
                  <c:v>107.41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CB-44A1-BE7B-1C13BDE21653}"/>
            </c:ext>
          </c:extLst>
        </c:ser>
        <c:ser>
          <c:idx val="2"/>
          <c:order val="2"/>
          <c:tx>
            <c:strRef>
              <c:f>Sheet7!$D$1:$D$2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Sheet7!$A$3:$A$36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Sheet7!$D$3:$D$36</c:f>
              <c:numCache>
                <c:formatCode>General</c:formatCode>
                <c:ptCount val="33"/>
                <c:pt idx="0">
                  <c:v>109.1</c:v>
                </c:pt>
                <c:pt idx="1">
                  <c:v>109.05</c:v>
                </c:pt>
                <c:pt idx="2">
                  <c:v>108.6</c:v>
                </c:pt>
                <c:pt idx="3">
                  <c:v>107.7</c:v>
                </c:pt>
                <c:pt idx="4">
                  <c:v>108.5</c:v>
                </c:pt>
                <c:pt idx="5">
                  <c:v>108.5</c:v>
                </c:pt>
                <c:pt idx="6">
                  <c:v>108.5</c:v>
                </c:pt>
                <c:pt idx="7">
                  <c:v>108.5</c:v>
                </c:pt>
                <c:pt idx="8">
                  <c:v>108.5</c:v>
                </c:pt>
                <c:pt idx="9">
                  <c:v>108.5</c:v>
                </c:pt>
                <c:pt idx="10">
                  <c:v>108.8</c:v>
                </c:pt>
                <c:pt idx="11">
                  <c:v>109.25</c:v>
                </c:pt>
                <c:pt idx="12">
                  <c:v>108.5</c:v>
                </c:pt>
                <c:pt idx="13">
                  <c:v>109.34</c:v>
                </c:pt>
                <c:pt idx="14">
                  <c:v>108.5</c:v>
                </c:pt>
                <c:pt idx="15">
                  <c:v>108.5</c:v>
                </c:pt>
                <c:pt idx="16">
                  <c:v>107.75</c:v>
                </c:pt>
                <c:pt idx="17">
                  <c:v>108.5</c:v>
                </c:pt>
                <c:pt idx="18">
                  <c:v>108.5</c:v>
                </c:pt>
                <c:pt idx="19">
                  <c:v>108.5</c:v>
                </c:pt>
                <c:pt idx="20">
                  <c:v>108.5</c:v>
                </c:pt>
                <c:pt idx="21">
                  <c:v>108.5</c:v>
                </c:pt>
                <c:pt idx="22">
                  <c:v>108.9</c:v>
                </c:pt>
                <c:pt idx="23">
                  <c:v>108.5</c:v>
                </c:pt>
                <c:pt idx="24">
                  <c:v>108.5</c:v>
                </c:pt>
                <c:pt idx="25">
                  <c:v>107.8</c:v>
                </c:pt>
                <c:pt idx="26">
                  <c:v>107.36</c:v>
                </c:pt>
                <c:pt idx="27">
                  <c:v>108.5</c:v>
                </c:pt>
                <c:pt idx="28">
                  <c:v>108.5</c:v>
                </c:pt>
                <c:pt idx="29">
                  <c:v>108.5</c:v>
                </c:pt>
                <c:pt idx="30">
                  <c:v>108.5</c:v>
                </c:pt>
                <c:pt idx="31">
                  <c:v>108.6</c:v>
                </c:pt>
                <c:pt idx="32">
                  <c:v>108.5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CB-44A1-BE7B-1C13BDE21653}"/>
            </c:ext>
          </c:extLst>
        </c:ser>
        <c:ser>
          <c:idx val="3"/>
          <c:order val="3"/>
          <c:tx>
            <c:strRef>
              <c:f>Sheet7!$E$1:$E$2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Sheet7!$A$3:$A$36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Sheet7!$E$3:$E$36</c:f>
              <c:numCache>
                <c:formatCode>General</c:formatCode>
                <c:ptCount val="33"/>
                <c:pt idx="0">
                  <c:v>116.87</c:v>
                </c:pt>
                <c:pt idx="1">
                  <c:v>116.82</c:v>
                </c:pt>
                <c:pt idx="2">
                  <c:v>116.37</c:v>
                </c:pt>
                <c:pt idx="3">
                  <c:v>115.47</c:v>
                </c:pt>
                <c:pt idx="4">
                  <c:v>116.27</c:v>
                </c:pt>
                <c:pt idx="5">
                  <c:v>116.27</c:v>
                </c:pt>
                <c:pt idx="6">
                  <c:v>116.27</c:v>
                </c:pt>
                <c:pt idx="7">
                  <c:v>116.27</c:v>
                </c:pt>
                <c:pt idx="8">
                  <c:v>116.27</c:v>
                </c:pt>
                <c:pt idx="9">
                  <c:v>116.27</c:v>
                </c:pt>
                <c:pt idx="10">
                  <c:v>116.57</c:v>
                </c:pt>
                <c:pt idx="11">
                  <c:v>117.02</c:v>
                </c:pt>
                <c:pt idx="12">
                  <c:v>116.27</c:v>
                </c:pt>
                <c:pt idx="13">
                  <c:v>117.11</c:v>
                </c:pt>
                <c:pt idx="14">
                  <c:v>116.27</c:v>
                </c:pt>
                <c:pt idx="15">
                  <c:v>116.27</c:v>
                </c:pt>
                <c:pt idx="16">
                  <c:v>115.52</c:v>
                </c:pt>
                <c:pt idx="17">
                  <c:v>116.27</c:v>
                </c:pt>
                <c:pt idx="18">
                  <c:v>116.27</c:v>
                </c:pt>
                <c:pt idx="19">
                  <c:v>116.27</c:v>
                </c:pt>
                <c:pt idx="20">
                  <c:v>116.27</c:v>
                </c:pt>
                <c:pt idx="21">
                  <c:v>116.27</c:v>
                </c:pt>
                <c:pt idx="22">
                  <c:v>116.67</c:v>
                </c:pt>
                <c:pt idx="23">
                  <c:v>116.27</c:v>
                </c:pt>
                <c:pt idx="24">
                  <c:v>116.27</c:v>
                </c:pt>
                <c:pt idx="25">
                  <c:v>115.57</c:v>
                </c:pt>
                <c:pt idx="26">
                  <c:v>115.13</c:v>
                </c:pt>
                <c:pt idx="27">
                  <c:v>116.27</c:v>
                </c:pt>
                <c:pt idx="28">
                  <c:v>116.27</c:v>
                </c:pt>
                <c:pt idx="29">
                  <c:v>116.27</c:v>
                </c:pt>
                <c:pt idx="30">
                  <c:v>116.27</c:v>
                </c:pt>
                <c:pt idx="31">
                  <c:v>116.37</c:v>
                </c:pt>
                <c:pt idx="32">
                  <c:v>116.27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ACB-44A1-BE7B-1C13BDE216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0018832"/>
        <c:axId val="1333566096"/>
      </c:barChart>
      <c:catAx>
        <c:axId val="131001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3566096"/>
        <c:crosses val="autoZero"/>
        <c:auto val="1"/>
        <c:lblAlgn val="ctr"/>
        <c:lblOffset val="100"/>
        <c:noMultiLvlLbl val="0"/>
      </c:catAx>
      <c:valAx>
        <c:axId val="133356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001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[DAV - FUEL.xlsx]Sheet7!PivotTable1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Sheet7!$B$39:$B$40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Sheet7!$A$41:$A$74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Sheet7!$B$41:$B$74</c:f>
              <c:numCache>
                <c:formatCode>General</c:formatCode>
                <c:ptCount val="33"/>
                <c:pt idx="0">
                  <c:v>98.42</c:v>
                </c:pt>
                <c:pt idx="1">
                  <c:v>98.37</c:v>
                </c:pt>
                <c:pt idx="2">
                  <c:v>97.92</c:v>
                </c:pt>
                <c:pt idx="3">
                  <c:v>97.02</c:v>
                </c:pt>
                <c:pt idx="4">
                  <c:v>97.82</c:v>
                </c:pt>
                <c:pt idx="5">
                  <c:v>97.82</c:v>
                </c:pt>
                <c:pt idx="6">
                  <c:v>97.82</c:v>
                </c:pt>
                <c:pt idx="7">
                  <c:v>97.82</c:v>
                </c:pt>
                <c:pt idx="8">
                  <c:v>97.82</c:v>
                </c:pt>
                <c:pt idx="9">
                  <c:v>97.82</c:v>
                </c:pt>
                <c:pt idx="10">
                  <c:v>98.12</c:v>
                </c:pt>
                <c:pt idx="11">
                  <c:v>98.57</c:v>
                </c:pt>
                <c:pt idx="12">
                  <c:v>97.82</c:v>
                </c:pt>
                <c:pt idx="13">
                  <c:v>98.66</c:v>
                </c:pt>
                <c:pt idx="14">
                  <c:v>97.82</c:v>
                </c:pt>
                <c:pt idx="15">
                  <c:v>97.82</c:v>
                </c:pt>
                <c:pt idx="16">
                  <c:v>97.07</c:v>
                </c:pt>
                <c:pt idx="17">
                  <c:v>97.82</c:v>
                </c:pt>
                <c:pt idx="18">
                  <c:v>97.82</c:v>
                </c:pt>
                <c:pt idx="19">
                  <c:v>97.82</c:v>
                </c:pt>
                <c:pt idx="20">
                  <c:v>97.82</c:v>
                </c:pt>
                <c:pt idx="21">
                  <c:v>97.82</c:v>
                </c:pt>
                <c:pt idx="22">
                  <c:v>98.22</c:v>
                </c:pt>
                <c:pt idx="23">
                  <c:v>97.82</c:v>
                </c:pt>
                <c:pt idx="24">
                  <c:v>97.82</c:v>
                </c:pt>
                <c:pt idx="25">
                  <c:v>97.12</c:v>
                </c:pt>
                <c:pt idx="26">
                  <c:v>96.68</c:v>
                </c:pt>
                <c:pt idx="27">
                  <c:v>97.82</c:v>
                </c:pt>
                <c:pt idx="28">
                  <c:v>97.82</c:v>
                </c:pt>
                <c:pt idx="29">
                  <c:v>97.82</c:v>
                </c:pt>
                <c:pt idx="30">
                  <c:v>97.82</c:v>
                </c:pt>
                <c:pt idx="31">
                  <c:v>97.92</c:v>
                </c:pt>
                <c:pt idx="32">
                  <c:v>97.82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C-41E3-8526-5A09E95E61D9}"/>
            </c:ext>
          </c:extLst>
        </c:ser>
        <c:ser>
          <c:idx val="1"/>
          <c:order val="1"/>
          <c:tx>
            <c:strRef>
              <c:f>Sheet7!$C$39:$C$40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Sheet7!$A$41:$A$74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Sheet7!$C$41:$C$74</c:f>
              <c:numCache>
                <c:formatCode>General</c:formatCode>
                <c:ptCount val="33"/>
                <c:pt idx="0">
                  <c:v>96.25</c:v>
                </c:pt>
                <c:pt idx="1">
                  <c:v>96.2</c:v>
                </c:pt>
                <c:pt idx="2">
                  <c:v>95.75</c:v>
                </c:pt>
                <c:pt idx="3">
                  <c:v>94.85</c:v>
                </c:pt>
                <c:pt idx="4">
                  <c:v>95.65</c:v>
                </c:pt>
                <c:pt idx="5">
                  <c:v>95.65</c:v>
                </c:pt>
                <c:pt idx="6">
                  <c:v>95.65</c:v>
                </c:pt>
                <c:pt idx="7">
                  <c:v>95.65</c:v>
                </c:pt>
                <c:pt idx="8">
                  <c:v>95.65</c:v>
                </c:pt>
                <c:pt idx="9">
                  <c:v>95.65</c:v>
                </c:pt>
                <c:pt idx="10">
                  <c:v>95.95</c:v>
                </c:pt>
                <c:pt idx="11">
                  <c:v>96.4</c:v>
                </c:pt>
                <c:pt idx="12">
                  <c:v>95.65</c:v>
                </c:pt>
                <c:pt idx="13">
                  <c:v>96.49</c:v>
                </c:pt>
                <c:pt idx="14">
                  <c:v>95.65</c:v>
                </c:pt>
                <c:pt idx="15">
                  <c:v>95.65</c:v>
                </c:pt>
                <c:pt idx="16">
                  <c:v>94.9</c:v>
                </c:pt>
                <c:pt idx="17">
                  <c:v>95.65</c:v>
                </c:pt>
                <c:pt idx="18">
                  <c:v>95.65</c:v>
                </c:pt>
                <c:pt idx="19">
                  <c:v>95.65</c:v>
                </c:pt>
                <c:pt idx="20">
                  <c:v>95.65</c:v>
                </c:pt>
                <c:pt idx="21">
                  <c:v>95.65</c:v>
                </c:pt>
                <c:pt idx="22">
                  <c:v>96.05</c:v>
                </c:pt>
                <c:pt idx="23">
                  <c:v>95.65</c:v>
                </c:pt>
                <c:pt idx="24">
                  <c:v>95.65</c:v>
                </c:pt>
                <c:pt idx="25">
                  <c:v>94.95</c:v>
                </c:pt>
                <c:pt idx="26">
                  <c:v>94.51</c:v>
                </c:pt>
                <c:pt idx="27">
                  <c:v>95.65</c:v>
                </c:pt>
                <c:pt idx="28">
                  <c:v>95.65</c:v>
                </c:pt>
                <c:pt idx="29">
                  <c:v>95.65</c:v>
                </c:pt>
                <c:pt idx="30">
                  <c:v>95.65</c:v>
                </c:pt>
                <c:pt idx="31">
                  <c:v>95.75</c:v>
                </c:pt>
                <c:pt idx="32">
                  <c:v>95.65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3C-41E3-8526-5A09E95E61D9}"/>
            </c:ext>
          </c:extLst>
        </c:ser>
        <c:ser>
          <c:idx val="2"/>
          <c:order val="2"/>
          <c:tx>
            <c:strRef>
              <c:f>Sheet7!$D$39:$D$40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Sheet7!$A$41:$A$74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Sheet7!$D$41:$D$74</c:f>
              <c:numCache>
                <c:formatCode>General</c:formatCode>
                <c:ptCount val="33"/>
                <c:pt idx="0">
                  <c:v>97.15</c:v>
                </c:pt>
                <c:pt idx="1">
                  <c:v>97.1</c:v>
                </c:pt>
                <c:pt idx="2">
                  <c:v>96.65</c:v>
                </c:pt>
                <c:pt idx="3">
                  <c:v>95.75</c:v>
                </c:pt>
                <c:pt idx="4">
                  <c:v>96.55</c:v>
                </c:pt>
                <c:pt idx="5">
                  <c:v>96.55</c:v>
                </c:pt>
                <c:pt idx="6">
                  <c:v>96.55</c:v>
                </c:pt>
                <c:pt idx="7">
                  <c:v>96.55</c:v>
                </c:pt>
                <c:pt idx="8">
                  <c:v>96.55</c:v>
                </c:pt>
                <c:pt idx="9">
                  <c:v>96.55</c:v>
                </c:pt>
                <c:pt idx="10">
                  <c:v>96.85</c:v>
                </c:pt>
                <c:pt idx="11">
                  <c:v>97.3</c:v>
                </c:pt>
                <c:pt idx="12">
                  <c:v>96.55</c:v>
                </c:pt>
                <c:pt idx="13">
                  <c:v>97.39</c:v>
                </c:pt>
                <c:pt idx="14">
                  <c:v>96.55</c:v>
                </c:pt>
                <c:pt idx="15">
                  <c:v>96.55</c:v>
                </c:pt>
                <c:pt idx="16">
                  <c:v>95.8</c:v>
                </c:pt>
                <c:pt idx="17">
                  <c:v>96.55</c:v>
                </c:pt>
                <c:pt idx="18">
                  <c:v>96.55</c:v>
                </c:pt>
                <c:pt idx="19">
                  <c:v>96.55</c:v>
                </c:pt>
                <c:pt idx="20">
                  <c:v>96.55</c:v>
                </c:pt>
                <c:pt idx="21">
                  <c:v>96.55</c:v>
                </c:pt>
                <c:pt idx="22">
                  <c:v>96.95</c:v>
                </c:pt>
                <c:pt idx="23">
                  <c:v>96.55</c:v>
                </c:pt>
                <c:pt idx="24">
                  <c:v>96.55</c:v>
                </c:pt>
                <c:pt idx="25">
                  <c:v>95.85</c:v>
                </c:pt>
                <c:pt idx="26">
                  <c:v>95.41</c:v>
                </c:pt>
                <c:pt idx="27">
                  <c:v>96.55</c:v>
                </c:pt>
                <c:pt idx="28">
                  <c:v>96.55</c:v>
                </c:pt>
                <c:pt idx="29">
                  <c:v>96.55</c:v>
                </c:pt>
                <c:pt idx="30">
                  <c:v>96.55</c:v>
                </c:pt>
                <c:pt idx="31">
                  <c:v>96.65</c:v>
                </c:pt>
                <c:pt idx="32">
                  <c:v>96.55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3C-41E3-8526-5A09E95E61D9}"/>
            </c:ext>
          </c:extLst>
        </c:ser>
        <c:ser>
          <c:idx val="3"/>
          <c:order val="3"/>
          <c:tx>
            <c:strRef>
              <c:f>Sheet7!$E$39:$E$40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Sheet7!$A$41:$A$74</c:f>
              <c:strCache>
                <c:ptCount val="33"/>
                <c:pt idx="0">
                  <c:v>Adilabad</c:v>
                </c:pt>
                <c:pt idx="1">
                  <c:v>Bhadradri Kothagudem</c:v>
                </c:pt>
                <c:pt idx="2">
                  <c:v>Hanumakonda</c:v>
                </c:pt>
                <c:pt idx="3">
                  <c:v>Hyderabad</c:v>
                </c:pt>
                <c:pt idx="4">
                  <c:v>Jagtial</c:v>
                </c:pt>
                <c:pt idx="5">
                  <c:v>Jangaon</c:v>
                </c:pt>
                <c:pt idx="6">
                  <c:v>Jayashankar Bhupalpally</c:v>
                </c:pt>
                <c:pt idx="7">
                  <c:v>Jogulamba Gadwal</c:v>
                </c:pt>
                <c:pt idx="8">
                  <c:v>Kamareddy</c:v>
                </c:pt>
                <c:pt idx="9">
                  <c:v>Karimnagar</c:v>
                </c:pt>
                <c:pt idx="10">
                  <c:v>Khammam</c:v>
                </c:pt>
                <c:pt idx="11">
                  <c:v>Kumuram Bheem Asifabad</c:v>
                </c:pt>
                <c:pt idx="12">
                  <c:v>Mahabubabad</c:v>
                </c:pt>
                <c:pt idx="13">
                  <c:v>Mahabubnagar</c:v>
                </c:pt>
                <c:pt idx="14">
                  <c:v>Mancherial</c:v>
                </c:pt>
                <c:pt idx="15">
                  <c:v>Medak</c:v>
                </c:pt>
                <c:pt idx="16">
                  <c:v>Medchal-Malkajgiri</c:v>
                </c:pt>
                <c:pt idx="17">
                  <c:v>Mulugu</c:v>
                </c:pt>
                <c:pt idx="18">
                  <c:v>Nagarkurnool</c:v>
                </c:pt>
                <c:pt idx="19">
                  <c:v>Nalgonda</c:v>
                </c:pt>
                <c:pt idx="20">
                  <c:v>Narayanpet</c:v>
                </c:pt>
                <c:pt idx="21">
                  <c:v>Nirmal</c:v>
                </c:pt>
                <c:pt idx="22">
                  <c:v>Nizamabad</c:v>
                </c:pt>
                <c:pt idx="23">
                  <c:v>Peddapalli</c:v>
                </c:pt>
                <c:pt idx="24">
                  <c:v>Rajanna Sircilla</c:v>
                </c:pt>
                <c:pt idx="25">
                  <c:v>Rangareddy</c:v>
                </c:pt>
                <c:pt idx="26">
                  <c:v>Sangareddy</c:v>
                </c:pt>
                <c:pt idx="27">
                  <c:v>Siddipet</c:v>
                </c:pt>
                <c:pt idx="28">
                  <c:v>Suryapet</c:v>
                </c:pt>
                <c:pt idx="29">
                  <c:v>Vikarabad</c:v>
                </c:pt>
                <c:pt idx="30">
                  <c:v>Wanaparthy</c:v>
                </c:pt>
                <c:pt idx="31">
                  <c:v>Warangal</c:v>
                </c:pt>
                <c:pt idx="32">
                  <c:v>Yadadri Bhuvanagiri</c:v>
                </c:pt>
              </c:strCache>
            </c:strRef>
          </c:cat>
          <c:val>
            <c:numRef>
              <c:f>Sheet7!$E$41:$E$74</c:f>
              <c:numCache>
                <c:formatCode>General</c:formatCode>
                <c:ptCount val="33"/>
                <c:pt idx="0">
                  <c:v>104.98</c:v>
                </c:pt>
                <c:pt idx="1">
                  <c:v>104.93</c:v>
                </c:pt>
                <c:pt idx="2">
                  <c:v>104.48</c:v>
                </c:pt>
                <c:pt idx="3">
                  <c:v>103.58</c:v>
                </c:pt>
                <c:pt idx="4">
                  <c:v>104.38</c:v>
                </c:pt>
                <c:pt idx="5">
                  <c:v>104.38</c:v>
                </c:pt>
                <c:pt idx="6">
                  <c:v>104.38</c:v>
                </c:pt>
                <c:pt idx="7">
                  <c:v>104.38</c:v>
                </c:pt>
                <c:pt idx="8">
                  <c:v>104.38</c:v>
                </c:pt>
                <c:pt idx="9">
                  <c:v>104.38</c:v>
                </c:pt>
                <c:pt idx="10">
                  <c:v>104.68</c:v>
                </c:pt>
                <c:pt idx="11">
                  <c:v>105.13</c:v>
                </c:pt>
                <c:pt idx="12">
                  <c:v>104.38</c:v>
                </c:pt>
                <c:pt idx="13">
                  <c:v>105.22</c:v>
                </c:pt>
                <c:pt idx="14">
                  <c:v>104.38</c:v>
                </c:pt>
                <c:pt idx="15">
                  <c:v>104.38</c:v>
                </c:pt>
                <c:pt idx="16">
                  <c:v>103.63</c:v>
                </c:pt>
                <c:pt idx="17">
                  <c:v>104.38</c:v>
                </c:pt>
                <c:pt idx="18">
                  <c:v>104.38</c:v>
                </c:pt>
                <c:pt idx="19">
                  <c:v>104.38</c:v>
                </c:pt>
                <c:pt idx="20">
                  <c:v>104.38</c:v>
                </c:pt>
                <c:pt idx="21">
                  <c:v>104.38</c:v>
                </c:pt>
                <c:pt idx="22">
                  <c:v>104.78</c:v>
                </c:pt>
                <c:pt idx="23">
                  <c:v>104.38</c:v>
                </c:pt>
                <c:pt idx="24">
                  <c:v>104.38</c:v>
                </c:pt>
                <c:pt idx="25">
                  <c:v>103.68</c:v>
                </c:pt>
                <c:pt idx="26">
                  <c:v>103.24</c:v>
                </c:pt>
                <c:pt idx="27">
                  <c:v>104.38</c:v>
                </c:pt>
                <c:pt idx="28">
                  <c:v>104.38</c:v>
                </c:pt>
                <c:pt idx="29">
                  <c:v>104.38</c:v>
                </c:pt>
                <c:pt idx="30">
                  <c:v>104.38</c:v>
                </c:pt>
                <c:pt idx="31">
                  <c:v>104.48</c:v>
                </c:pt>
                <c:pt idx="32">
                  <c:v>104.38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3C-41E3-8526-5A09E95E6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03129312"/>
        <c:axId val="420075568"/>
      </c:barChart>
      <c:catAx>
        <c:axId val="50312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075568"/>
        <c:crosses val="autoZero"/>
        <c:auto val="1"/>
        <c:lblAlgn val="ctr"/>
        <c:lblOffset val="100"/>
        <c:noMultiLvlLbl val="0"/>
      </c:catAx>
      <c:valAx>
        <c:axId val="42007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312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177039</xdr:colOff>
      <xdr:row>0</xdr:row>
      <xdr:rowOff>5634</xdr:rowOff>
    </xdr:from>
    <xdr:to>
      <xdr:col>18</xdr:col>
      <xdr:colOff>493188</xdr:colOff>
      <xdr:row>14</xdr:row>
      <xdr:rowOff>130872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FF8BBE2-A252-6A31-6479-070B06F652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8332</xdr:colOff>
      <xdr:row>15</xdr:row>
      <xdr:rowOff>55813</xdr:rowOff>
    </xdr:from>
    <xdr:to>
      <xdr:col>20</xdr:col>
      <xdr:colOff>598197</xdr:colOff>
      <xdr:row>33</xdr:row>
      <xdr:rowOff>32536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61336E-EDA7-D0D5-1ECC-8D95EA63A0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502920</xdr:colOff>
      <xdr:row>0</xdr:row>
      <xdr:rowOff>91439</xdr:rowOff>
    </xdr:from>
    <xdr:to>
      <xdr:col>20</xdr:col>
      <xdr:colOff>395654</xdr:colOff>
      <xdr:row>19</xdr:row>
      <xdr:rowOff>7326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36E50EF-861C-FFFE-FA0E-D67435F05D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933236</xdr:colOff>
      <xdr:row>1</xdr:row>
      <xdr:rowOff>75258</xdr:rowOff>
    </xdr:from>
    <xdr:to>
      <xdr:col>9</xdr:col>
      <xdr:colOff>127571</xdr:colOff>
      <xdr:row>15</xdr:row>
      <xdr:rowOff>60018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044FD72-3378-99B7-60A3-0B59E97185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160986</xdr:colOff>
      <xdr:row>1</xdr:row>
      <xdr:rowOff>12879</xdr:rowOff>
    </xdr:from>
    <xdr:to>
      <xdr:col>16</xdr:col>
      <xdr:colOff>450761</xdr:colOff>
      <xdr:row>16</xdr:row>
      <xdr:rowOff>19319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1A408AC-9113-494D-2F22-A9BC5A4AB7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160421</xdr:colOff>
      <xdr:row>2</xdr:row>
      <xdr:rowOff>22859</xdr:rowOff>
    </xdr:from>
    <xdr:to>
      <xdr:col>18</xdr:col>
      <xdr:colOff>481263</xdr:colOff>
      <xdr:row>20</xdr:row>
      <xdr:rowOff>80209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D13256-B5DB-89AE-66C7-7285AD0662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150394</xdr:colOff>
      <xdr:row>20</xdr:row>
      <xdr:rowOff>173182</xdr:rowOff>
    </xdr:from>
    <xdr:to>
      <xdr:col>18</xdr:col>
      <xdr:colOff>401052</xdr:colOff>
      <xdr:row>39</xdr:row>
      <xdr:rowOff>10026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390880-8E5A-13C5-D7E4-18663F259E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908818</xdr:colOff>
      <xdr:row>2</xdr:row>
      <xdr:rowOff>40917</xdr:rowOff>
    </xdr:from>
    <xdr:to>
      <xdr:col>43</xdr:col>
      <xdr:colOff>161464</xdr:colOff>
      <xdr:row>18</xdr:row>
      <xdr:rowOff>66317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B5142C-06EC-2FE1-41EF-86C3ACECA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1026789</xdr:colOff>
      <xdr:row>39</xdr:row>
      <xdr:rowOff>44811</xdr:rowOff>
    </xdr:from>
    <xdr:to>
      <xdr:col>42</xdr:col>
      <xdr:colOff>561294</xdr:colOff>
      <xdr:row>57</xdr:row>
      <xdr:rowOff>108857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B65801-3941-70EF-0FDF-05A4553E0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daloju Hasini" refreshedDate="46302.865048495369" createdVersion="8" refreshedVersion="8" minRefreshableVersion="3" recordCount="132" xr:uid="{E1E967C7-6506-4A99-80B6-778C601B5139}">
  <cacheSource type="worksheet">
    <worksheetSource ref="A1:R133" sheet="Sheet1"/>
  </cacheSource>
  <cacheFields count="18">
    <cacheField name="District" numFmtId="0">
      <sharedItems count="33">
        <s v="Adilabad"/>
        <s v="Bhadradri Kothagudem"/>
        <s v="Hanumakonda"/>
        <s v="Hyderabad"/>
        <s v="Jagtial"/>
        <s v="Jangaon"/>
        <s v="Jayashankar Bhupalpally"/>
        <s v="Jogulamba Gadwal"/>
        <s v="Kamareddy"/>
        <s v="Karimnagar"/>
        <s v="Khammam"/>
        <s v="Kumuram Bheem Asifabad"/>
        <s v="Mahabubabad"/>
        <s v="Mahabubnagar"/>
        <s v="Mancherial"/>
        <s v="Medak"/>
        <s v="Medchal-Malkajgiri"/>
        <s v="Mulugu"/>
        <s v="Nagarkurnool"/>
        <s v="Nalgonda"/>
        <s v="Narayanpet"/>
        <s v="Nirmal"/>
        <s v="Nizamabad"/>
        <s v="Peddapalli"/>
        <s v="Rajanna Sircilla"/>
        <s v="Rangareddy"/>
        <s v="Sangareddy"/>
        <s v="Siddipet"/>
        <s v="Suryapet"/>
        <s v="Vikarabad"/>
        <s v="Wanaparthy"/>
        <s v="Warangal"/>
        <s v="Yadadri Bhuvanagiri"/>
      </sharedItems>
    </cacheField>
    <cacheField name="Field2" caption="Field2" numFmtId="0">
      <sharedItems containsNonDate="0" containsString="0" containsBlank="1"/>
    </cacheField>
    <cacheField name="Field3" caption="Field3" numFmtId="0">
      <sharedItems containsNonDate="0" containsString="0" containsBlank="1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Field5" caption="Field5" numFmtId="0">
      <sharedItems containsNonDate="0" containsString="0" containsBlank="1"/>
    </cacheField>
    <cacheField name="Petrol Price (INR/Litre)" numFmtId="0">
      <sharedItems containsSemiMixedTypes="0" containsString="0" containsNumber="1" minValue="106.27" maxValue="117.11"/>
    </cacheField>
    <cacheField name="Field7" caption="Field7" numFmtId="0">
      <sharedItems containsNonDate="0" containsString="0" containsBlank="1"/>
    </cacheField>
    <cacheField name="Field8" caption="Field8" numFmtId="0">
      <sharedItems containsNonDate="0" containsString="0" containsBlank="1"/>
    </cacheField>
    <cacheField name="Diesel Price (INR/Litre)" numFmtId="0">
      <sharedItems containsSemiMixedTypes="0" containsString="0" containsNumber="1" minValue="94.51" maxValue="105.22"/>
    </cacheField>
    <cacheField name="Field10" caption="Field10" numFmtId="0">
      <sharedItems containsNonDate="0" containsString="0" containsBlank="1"/>
    </cacheField>
    <cacheField name="Field11" caption="Field11" numFmtId="0">
      <sharedItems containsNonDate="0" containsString="0" containsBlank="1"/>
    </cacheField>
    <cacheField name="Petrol Consumption (KL)" numFmtId="0">
      <sharedItems containsSemiMixedTypes="0" containsString="0" containsNumber="1" containsInteger="1" minValue="20000" maxValue="248601"/>
    </cacheField>
    <cacheField name="Field13" caption="Field13" numFmtId="0">
      <sharedItems containsNonDate="0" containsString="0" containsBlank="1"/>
    </cacheField>
    <cacheField name="Field14" caption="Field14" numFmtId="0">
      <sharedItems containsNonDate="0" containsString="0" containsBlank="1"/>
    </cacheField>
    <cacheField name="Diesel Consumption (KL)" numFmtId="0">
      <sharedItems containsSemiMixedTypes="0" containsString="0" containsNumber="1" containsInteger="1" minValue="43000" maxValue="345749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Total fuel consumption(KL)" numFmtId="0">
      <sharedItems containsSemiMixedTypes="0" containsString="0" containsNumber="1" containsInteger="1" minValue="67000" maxValue="586544" count="127">
        <n v="104000"/>
        <n v="108002"/>
        <n v="115203"/>
        <n v="119179"/>
        <n v="92000"/>
        <n v="95795"/>
        <n v="97766"/>
        <n v="104836"/>
        <n v="109000"/>
        <n v="112889"/>
        <n v="116728"/>
        <n v="119582"/>
        <n v="466000"/>
        <n v="480331"/>
        <n v="521173"/>
        <n v="526582"/>
        <n v="107605"/>
        <n v="116078"/>
        <n v="114980"/>
        <n v="94000"/>
        <n v="98842"/>
        <n v="99824"/>
        <n v="105385"/>
        <n v="87000"/>
        <n v="90243"/>
        <n v="93746"/>
        <n v="99391"/>
        <n v="69000"/>
        <n v="71235"/>
        <n v="76447"/>
        <n v="80644"/>
        <n v="105000"/>
        <n v="108960"/>
        <n v="111319"/>
        <n v="116999"/>
        <n v="157000"/>
        <n v="162774"/>
        <n v="173665"/>
        <n v="179414"/>
        <n v="236000"/>
        <n v="249249"/>
        <n v="254519"/>
        <n v="262165"/>
        <n v="95000"/>
        <n v="100130"/>
        <n v="101794"/>
        <n v="104880"/>
        <n v="107000"/>
        <n v="110931"/>
        <n v="117327"/>
        <n v="122292"/>
        <n v="111000"/>
        <n v="115762"/>
        <n v="121582"/>
        <n v="124162"/>
        <n v="108000"/>
        <n v="112900"/>
        <n v="120520"/>
        <n v="120018"/>
        <n v="102000"/>
        <n v="105188"/>
        <n v="111960"/>
        <n v="111416"/>
        <n v="511000"/>
        <n v="530896"/>
        <n v="564465"/>
        <n v="563399"/>
        <n v="112278"/>
        <n v="119725"/>
        <n v="118805"/>
        <n v="82000"/>
        <n v="86196"/>
        <n v="90572"/>
        <n v="96173"/>
        <n v="220000"/>
        <n v="230885"/>
        <n v="237193"/>
        <n v="239952"/>
        <n v="92089"/>
        <n v="94549"/>
        <n v="98386"/>
        <n v="85572"/>
        <n v="87637"/>
        <n v="94382"/>
        <n v="208000"/>
        <n v="220349"/>
        <n v="231885"/>
        <n v="237141"/>
        <n v="67000"/>
        <n v="69734"/>
        <n v="72330"/>
        <n v="78056"/>
        <n v="74000"/>
        <n v="77213"/>
        <n v="79852"/>
        <n v="81391"/>
        <n v="512000"/>
        <n v="532051"/>
        <n v="570474"/>
        <n v="586544"/>
        <n v="230715"/>
        <n v="242729"/>
        <n v="243952"/>
        <n v="77000"/>
        <n v="79658"/>
        <n v="82245"/>
        <n v="87494"/>
        <n v="123000"/>
        <n v="128640"/>
        <n v="131701"/>
        <n v="137418"/>
        <n v="80000"/>
        <n v="83661"/>
        <n v="89525"/>
        <n v="89498"/>
        <n v="110000"/>
        <n v="114066"/>
        <n v="119810"/>
        <n v="125646"/>
        <n v="120000"/>
        <n v="126311"/>
        <n v="133454"/>
        <n v="139189"/>
        <n v="137000"/>
        <n v="144505"/>
        <n v="152184"/>
        <n v="157794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ndaloju Hasini" refreshedDate="46303.905571527779" createdVersion="8" refreshedVersion="8" minRefreshableVersion="3" recordCount="132" xr:uid="{E849A6A1-6265-4899-8CDF-4151788458DA}">
  <cacheSource type="worksheet">
    <worksheetSource ref="I1:I133" sheet="Sheet1"/>
  </cacheSource>
  <cacheFields count="1">
    <cacheField name="Diesel Price (INR/Litre)" numFmtId="0">
      <sharedItems containsSemiMixedTypes="0" containsString="0" containsNumber="1" minValue="94.51" maxValue="105.22" count="47">
        <n v="98.42"/>
        <n v="96.25"/>
        <n v="97.15"/>
        <n v="104.98"/>
        <n v="98.37"/>
        <n v="96.2"/>
        <n v="97.1"/>
        <n v="104.93"/>
        <n v="97.92"/>
        <n v="95.75"/>
        <n v="96.65"/>
        <n v="104.48"/>
        <n v="97.02"/>
        <n v="94.85"/>
        <n v="103.58"/>
        <n v="97.82"/>
        <n v="95.65"/>
        <n v="96.55"/>
        <n v="104.38"/>
        <n v="98.12"/>
        <n v="95.95"/>
        <n v="96.85"/>
        <n v="104.68"/>
        <n v="98.57"/>
        <n v="96.4"/>
        <n v="97.3"/>
        <n v="105.13"/>
        <n v="98.66"/>
        <n v="96.49"/>
        <n v="97.39"/>
        <n v="105.22"/>
        <n v="97.07"/>
        <n v="94.9"/>
        <n v="95.8"/>
        <n v="103.63"/>
        <n v="98.22"/>
        <n v="96.05"/>
        <n v="96.95"/>
        <n v="104.78"/>
        <n v="97.12"/>
        <n v="94.95"/>
        <n v="95.85"/>
        <n v="103.68"/>
        <n v="96.68"/>
        <n v="94.51"/>
        <n v="95.41"/>
        <n v="103.24"/>
      </sharedItems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  <m/>
    <m/>
    <x v="0"/>
    <m/>
    <n v="110.26"/>
    <m/>
    <m/>
    <n v="98.42"/>
    <m/>
    <m/>
    <n v="40000"/>
    <m/>
    <m/>
    <n v="64000"/>
    <m/>
    <m/>
    <x v="0"/>
  </r>
  <r>
    <x v="0"/>
    <m/>
    <m/>
    <x v="1"/>
    <m/>
    <n v="108.01"/>
    <m/>
    <m/>
    <n v="96.25"/>
    <m/>
    <m/>
    <n v="41539"/>
    <m/>
    <m/>
    <n v="66463"/>
    <m/>
    <m/>
    <x v="1"/>
  </r>
  <r>
    <x v="0"/>
    <m/>
    <m/>
    <x v="2"/>
    <m/>
    <n v="109.1"/>
    <m/>
    <m/>
    <n v="97.15"/>
    <m/>
    <m/>
    <n v="44309"/>
    <m/>
    <m/>
    <n v="70894"/>
    <m/>
    <m/>
    <x v="2"/>
  </r>
  <r>
    <x v="0"/>
    <m/>
    <m/>
    <x v="3"/>
    <m/>
    <n v="116.87"/>
    <m/>
    <m/>
    <n v="104.98"/>
    <m/>
    <m/>
    <n v="45838"/>
    <m/>
    <m/>
    <n v="73341"/>
    <m/>
    <m/>
    <x v="3"/>
  </r>
  <r>
    <x v="1"/>
    <m/>
    <m/>
    <x v="0"/>
    <m/>
    <n v="110.21"/>
    <m/>
    <m/>
    <n v="98.37"/>
    <m/>
    <m/>
    <n v="21000"/>
    <m/>
    <m/>
    <n v="71000"/>
    <m/>
    <m/>
    <x v="4"/>
  </r>
  <r>
    <x v="1"/>
    <m/>
    <m/>
    <x v="1"/>
    <m/>
    <n v="107.96"/>
    <m/>
    <m/>
    <n v="96.2"/>
    <m/>
    <m/>
    <n v="21866"/>
    <m/>
    <m/>
    <n v="73929"/>
    <m/>
    <m/>
    <x v="5"/>
  </r>
  <r>
    <x v="1"/>
    <m/>
    <m/>
    <x v="2"/>
    <m/>
    <n v="109.05"/>
    <m/>
    <m/>
    <n v="97.1"/>
    <m/>
    <m/>
    <n v="22316"/>
    <m/>
    <m/>
    <n v="75450"/>
    <m/>
    <m/>
    <x v="6"/>
  </r>
  <r>
    <x v="1"/>
    <m/>
    <m/>
    <x v="3"/>
    <m/>
    <n v="116.82"/>
    <m/>
    <m/>
    <n v="104.93"/>
    <m/>
    <m/>
    <n v="23930"/>
    <m/>
    <m/>
    <n v="80906"/>
    <m/>
    <m/>
    <x v="7"/>
  </r>
  <r>
    <x v="2"/>
    <m/>
    <m/>
    <x v="0"/>
    <m/>
    <n v="109.76"/>
    <m/>
    <m/>
    <n v="97.92"/>
    <m/>
    <m/>
    <n v="26000"/>
    <m/>
    <m/>
    <n v="83000"/>
    <m/>
    <m/>
    <x v="8"/>
  </r>
  <r>
    <x v="2"/>
    <m/>
    <m/>
    <x v="1"/>
    <m/>
    <n v="107.51"/>
    <m/>
    <m/>
    <n v="95.75"/>
    <m/>
    <m/>
    <n v="26928"/>
    <m/>
    <m/>
    <n v="85961"/>
    <m/>
    <m/>
    <x v="9"/>
  </r>
  <r>
    <x v="2"/>
    <m/>
    <m/>
    <x v="2"/>
    <m/>
    <n v="108.6"/>
    <m/>
    <m/>
    <n v="96.65"/>
    <m/>
    <m/>
    <n v="27843"/>
    <m/>
    <m/>
    <n v="88885"/>
    <m/>
    <m/>
    <x v="10"/>
  </r>
  <r>
    <x v="2"/>
    <m/>
    <m/>
    <x v="3"/>
    <m/>
    <n v="116.37"/>
    <m/>
    <m/>
    <n v="104.48"/>
    <m/>
    <m/>
    <n v="28524"/>
    <m/>
    <m/>
    <n v="91058"/>
    <m/>
    <m/>
    <x v="11"/>
  </r>
  <r>
    <x v="3"/>
    <m/>
    <m/>
    <x v="0"/>
    <m/>
    <n v="108.86"/>
    <m/>
    <m/>
    <n v="97.02"/>
    <m/>
    <m/>
    <n v="220000"/>
    <m/>
    <m/>
    <n v="246000"/>
    <m/>
    <m/>
    <x v="12"/>
  </r>
  <r>
    <x v="3"/>
    <m/>
    <m/>
    <x v="1"/>
    <m/>
    <n v="106.61"/>
    <m/>
    <m/>
    <n v="94.85"/>
    <m/>
    <m/>
    <n v="226766"/>
    <m/>
    <m/>
    <n v="253565"/>
    <m/>
    <m/>
    <x v="13"/>
  </r>
  <r>
    <x v="3"/>
    <m/>
    <m/>
    <x v="2"/>
    <m/>
    <n v="107.7"/>
    <m/>
    <m/>
    <n v="95.75"/>
    <m/>
    <m/>
    <n v="246047"/>
    <m/>
    <m/>
    <n v="275126"/>
    <m/>
    <m/>
    <x v="14"/>
  </r>
  <r>
    <x v="3"/>
    <m/>
    <m/>
    <x v="3"/>
    <m/>
    <n v="115.47"/>
    <m/>
    <m/>
    <n v="103.58"/>
    <m/>
    <m/>
    <n v="248601"/>
    <m/>
    <m/>
    <n v="277981"/>
    <m/>
    <m/>
    <x v="15"/>
  </r>
  <r>
    <x v="4"/>
    <m/>
    <m/>
    <x v="0"/>
    <m/>
    <n v="109.66"/>
    <m/>
    <m/>
    <n v="97.82"/>
    <m/>
    <m/>
    <n v="35000"/>
    <m/>
    <m/>
    <n v="69000"/>
    <m/>
    <m/>
    <x v="0"/>
  </r>
  <r>
    <x v="4"/>
    <m/>
    <m/>
    <x v="1"/>
    <m/>
    <n v="107.41"/>
    <m/>
    <m/>
    <n v="95.65"/>
    <m/>
    <m/>
    <n v="36213"/>
    <m/>
    <m/>
    <n v="71392"/>
    <m/>
    <m/>
    <x v="16"/>
  </r>
  <r>
    <x v="4"/>
    <m/>
    <m/>
    <x v="2"/>
    <m/>
    <n v="108.5"/>
    <m/>
    <m/>
    <n v="96.55"/>
    <m/>
    <m/>
    <n v="39065"/>
    <m/>
    <m/>
    <n v="77013"/>
    <m/>
    <m/>
    <x v="17"/>
  </r>
  <r>
    <x v="4"/>
    <m/>
    <m/>
    <x v="3"/>
    <m/>
    <n v="116.27"/>
    <m/>
    <m/>
    <n v="104.38"/>
    <m/>
    <m/>
    <n v="38695"/>
    <m/>
    <m/>
    <n v="76285"/>
    <m/>
    <m/>
    <x v="18"/>
  </r>
  <r>
    <x v="5"/>
    <m/>
    <m/>
    <x v="0"/>
    <m/>
    <n v="109.66"/>
    <m/>
    <m/>
    <n v="97.82"/>
    <m/>
    <m/>
    <n v="43000"/>
    <m/>
    <m/>
    <n v="51000"/>
    <m/>
    <m/>
    <x v="19"/>
  </r>
  <r>
    <x v="5"/>
    <m/>
    <m/>
    <x v="1"/>
    <m/>
    <n v="107.41"/>
    <m/>
    <m/>
    <n v="95.65"/>
    <m/>
    <m/>
    <n v="45215"/>
    <m/>
    <m/>
    <n v="53627"/>
    <m/>
    <m/>
    <x v="20"/>
  </r>
  <r>
    <x v="5"/>
    <m/>
    <m/>
    <x v="2"/>
    <m/>
    <n v="108.5"/>
    <m/>
    <m/>
    <n v="96.55"/>
    <m/>
    <m/>
    <n v="45664"/>
    <m/>
    <m/>
    <n v="54160"/>
    <m/>
    <m/>
    <x v="21"/>
  </r>
  <r>
    <x v="5"/>
    <m/>
    <m/>
    <x v="3"/>
    <m/>
    <n v="116.27"/>
    <m/>
    <m/>
    <n v="104.38"/>
    <m/>
    <m/>
    <n v="48208"/>
    <m/>
    <m/>
    <n v="57177"/>
    <m/>
    <m/>
    <x v="22"/>
  </r>
  <r>
    <x v="6"/>
    <m/>
    <m/>
    <x v="0"/>
    <m/>
    <n v="109.66"/>
    <m/>
    <m/>
    <n v="97.82"/>
    <m/>
    <m/>
    <n v="24000"/>
    <m/>
    <m/>
    <n v="63000"/>
    <m/>
    <m/>
    <x v="23"/>
  </r>
  <r>
    <x v="6"/>
    <m/>
    <m/>
    <x v="1"/>
    <m/>
    <n v="107.41"/>
    <m/>
    <m/>
    <n v="95.65"/>
    <m/>
    <m/>
    <n v="24895"/>
    <m/>
    <m/>
    <n v="65348"/>
    <m/>
    <m/>
    <x v="24"/>
  </r>
  <r>
    <x v="6"/>
    <m/>
    <m/>
    <x v="2"/>
    <m/>
    <n v="108.5"/>
    <m/>
    <m/>
    <n v="96.55"/>
    <m/>
    <m/>
    <n v="25861"/>
    <m/>
    <m/>
    <n v="67885"/>
    <m/>
    <m/>
    <x v="25"/>
  </r>
  <r>
    <x v="6"/>
    <m/>
    <m/>
    <x v="3"/>
    <m/>
    <n v="116.27"/>
    <m/>
    <m/>
    <n v="104.38"/>
    <m/>
    <m/>
    <n v="27418"/>
    <m/>
    <m/>
    <n v="71973"/>
    <m/>
    <m/>
    <x v="26"/>
  </r>
  <r>
    <x v="7"/>
    <m/>
    <m/>
    <x v="0"/>
    <m/>
    <n v="109.66"/>
    <m/>
    <m/>
    <n v="97.82"/>
    <m/>
    <m/>
    <n v="25000"/>
    <m/>
    <m/>
    <n v="44000"/>
    <m/>
    <m/>
    <x v="27"/>
  </r>
  <r>
    <x v="7"/>
    <m/>
    <m/>
    <x v="1"/>
    <m/>
    <n v="107.41"/>
    <m/>
    <m/>
    <n v="95.65"/>
    <m/>
    <m/>
    <n v="25810"/>
    <m/>
    <m/>
    <n v="45425"/>
    <m/>
    <m/>
    <x v="28"/>
  </r>
  <r>
    <x v="7"/>
    <m/>
    <m/>
    <x v="2"/>
    <m/>
    <n v="108.5"/>
    <m/>
    <m/>
    <n v="96.55"/>
    <m/>
    <m/>
    <n v="27698"/>
    <m/>
    <m/>
    <n v="48749"/>
    <m/>
    <m/>
    <x v="29"/>
  </r>
  <r>
    <x v="7"/>
    <m/>
    <m/>
    <x v="3"/>
    <m/>
    <n v="116.27"/>
    <m/>
    <m/>
    <n v="104.38"/>
    <m/>
    <m/>
    <n v="29219"/>
    <m/>
    <m/>
    <n v="51425"/>
    <m/>
    <m/>
    <x v="30"/>
  </r>
  <r>
    <x v="8"/>
    <m/>
    <m/>
    <x v="0"/>
    <m/>
    <n v="109.66"/>
    <m/>
    <m/>
    <n v="97.82"/>
    <m/>
    <m/>
    <n v="22000"/>
    <m/>
    <m/>
    <n v="83000"/>
    <m/>
    <m/>
    <x v="31"/>
  </r>
  <r>
    <x v="8"/>
    <m/>
    <m/>
    <x v="1"/>
    <m/>
    <n v="107.41"/>
    <m/>
    <m/>
    <n v="95.65"/>
    <m/>
    <m/>
    <n v="22830"/>
    <m/>
    <m/>
    <n v="86130"/>
    <m/>
    <m/>
    <x v="32"/>
  </r>
  <r>
    <x v="8"/>
    <m/>
    <m/>
    <x v="2"/>
    <m/>
    <n v="108.5"/>
    <m/>
    <m/>
    <n v="96.55"/>
    <m/>
    <m/>
    <n v="23324"/>
    <m/>
    <m/>
    <n v="87995"/>
    <m/>
    <m/>
    <x v="33"/>
  </r>
  <r>
    <x v="8"/>
    <m/>
    <m/>
    <x v="3"/>
    <m/>
    <n v="116.27"/>
    <m/>
    <m/>
    <n v="104.38"/>
    <m/>
    <m/>
    <n v="24514"/>
    <m/>
    <m/>
    <n v="92485"/>
    <m/>
    <m/>
    <x v="34"/>
  </r>
  <r>
    <x v="9"/>
    <m/>
    <m/>
    <x v="0"/>
    <m/>
    <n v="109.66"/>
    <m/>
    <m/>
    <n v="97.82"/>
    <m/>
    <m/>
    <n v="63000"/>
    <m/>
    <m/>
    <n v="94000"/>
    <m/>
    <m/>
    <x v="35"/>
  </r>
  <r>
    <x v="9"/>
    <m/>
    <m/>
    <x v="1"/>
    <m/>
    <n v="107.41"/>
    <m/>
    <m/>
    <n v="95.65"/>
    <m/>
    <m/>
    <n v="65317"/>
    <m/>
    <m/>
    <n v="97457"/>
    <m/>
    <m/>
    <x v="36"/>
  </r>
  <r>
    <x v="9"/>
    <m/>
    <m/>
    <x v="2"/>
    <m/>
    <n v="108.5"/>
    <m/>
    <m/>
    <n v="96.55"/>
    <m/>
    <m/>
    <n v="69687"/>
    <m/>
    <m/>
    <n v="103978"/>
    <m/>
    <m/>
    <x v="37"/>
  </r>
  <r>
    <x v="9"/>
    <m/>
    <m/>
    <x v="3"/>
    <m/>
    <n v="116.27"/>
    <m/>
    <m/>
    <n v="104.38"/>
    <m/>
    <m/>
    <n v="71994"/>
    <m/>
    <m/>
    <n v="107420"/>
    <m/>
    <m/>
    <x v="38"/>
  </r>
  <r>
    <x v="10"/>
    <m/>
    <m/>
    <x v="0"/>
    <m/>
    <n v="109.96"/>
    <m/>
    <m/>
    <n v="98.12"/>
    <m/>
    <m/>
    <n v="83000"/>
    <m/>
    <m/>
    <n v="153000"/>
    <m/>
    <m/>
    <x v="39"/>
  </r>
  <r>
    <x v="10"/>
    <m/>
    <m/>
    <x v="1"/>
    <m/>
    <n v="107.71"/>
    <m/>
    <m/>
    <n v="95.95"/>
    <m/>
    <m/>
    <n v="87660"/>
    <m/>
    <m/>
    <n v="161589"/>
    <m/>
    <m/>
    <x v="40"/>
  </r>
  <r>
    <x v="10"/>
    <m/>
    <m/>
    <x v="2"/>
    <m/>
    <n v="108.8"/>
    <m/>
    <m/>
    <n v="96.85"/>
    <m/>
    <m/>
    <n v="89513"/>
    <m/>
    <m/>
    <n v="165006"/>
    <m/>
    <m/>
    <x v="41"/>
  </r>
  <r>
    <x v="10"/>
    <m/>
    <m/>
    <x v="3"/>
    <m/>
    <n v="116.57"/>
    <m/>
    <m/>
    <n v="104.68"/>
    <m/>
    <m/>
    <n v="92202"/>
    <m/>
    <m/>
    <n v="169963"/>
    <m/>
    <m/>
    <x v="42"/>
  </r>
  <r>
    <x v="11"/>
    <m/>
    <m/>
    <x v="0"/>
    <m/>
    <n v="110.41"/>
    <m/>
    <m/>
    <n v="98.57"/>
    <m/>
    <m/>
    <n v="52000"/>
    <m/>
    <m/>
    <n v="43000"/>
    <m/>
    <m/>
    <x v="43"/>
  </r>
  <r>
    <x v="11"/>
    <m/>
    <m/>
    <x v="1"/>
    <m/>
    <n v="108.16"/>
    <m/>
    <m/>
    <n v="96.4"/>
    <m/>
    <m/>
    <n v="54808"/>
    <m/>
    <m/>
    <n v="45322"/>
    <m/>
    <m/>
    <x v="44"/>
  </r>
  <r>
    <x v="11"/>
    <m/>
    <m/>
    <x v="2"/>
    <m/>
    <n v="109.25"/>
    <m/>
    <m/>
    <n v="97.3"/>
    <m/>
    <m/>
    <n v="55719"/>
    <m/>
    <m/>
    <n v="46075"/>
    <m/>
    <m/>
    <x v="45"/>
  </r>
  <r>
    <x v="11"/>
    <m/>
    <m/>
    <x v="3"/>
    <m/>
    <n v="117.02"/>
    <m/>
    <m/>
    <n v="105.13"/>
    <m/>
    <m/>
    <n v="57408"/>
    <m/>
    <m/>
    <n v="47472"/>
    <m/>
    <m/>
    <x v="46"/>
  </r>
  <r>
    <x v="12"/>
    <m/>
    <m/>
    <x v="0"/>
    <m/>
    <n v="109.66"/>
    <m/>
    <m/>
    <n v="97.82"/>
    <m/>
    <m/>
    <n v="49000"/>
    <m/>
    <m/>
    <n v="58000"/>
    <m/>
    <m/>
    <x v="47"/>
  </r>
  <r>
    <x v="12"/>
    <m/>
    <m/>
    <x v="1"/>
    <m/>
    <n v="107.41"/>
    <m/>
    <m/>
    <n v="95.65"/>
    <m/>
    <m/>
    <n v="50800"/>
    <m/>
    <m/>
    <n v="60131"/>
    <m/>
    <m/>
    <x v="48"/>
  </r>
  <r>
    <x v="12"/>
    <m/>
    <m/>
    <x v="2"/>
    <m/>
    <n v="108.5"/>
    <m/>
    <m/>
    <n v="96.55"/>
    <m/>
    <m/>
    <n v="53729"/>
    <m/>
    <m/>
    <n v="63598"/>
    <m/>
    <m/>
    <x v="49"/>
  </r>
  <r>
    <x v="12"/>
    <m/>
    <m/>
    <x v="3"/>
    <m/>
    <n v="116.27"/>
    <m/>
    <m/>
    <n v="104.38"/>
    <m/>
    <m/>
    <n v="56003"/>
    <m/>
    <m/>
    <n v="66289"/>
    <m/>
    <m/>
    <x v="50"/>
  </r>
  <r>
    <x v="13"/>
    <m/>
    <m/>
    <x v="0"/>
    <m/>
    <n v="110.5"/>
    <m/>
    <m/>
    <n v="98.66"/>
    <m/>
    <m/>
    <n v="40000"/>
    <m/>
    <m/>
    <n v="71000"/>
    <m/>
    <m/>
    <x v="51"/>
  </r>
  <r>
    <x v="13"/>
    <m/>
    <m/>
    <x v="1"/>
    <m/>
    <n v="108.25"/>
    <m/>
    <m/>
    <n v="96.49"/>
    <m/>
    <m/>
    <n v="41716"/>
    <m/>
    <m/>
    <n v="74046"/>
    <m/>
    <m/>
    <x v="52"/>
  </r>
  <r>
    <x v="13"/>
    <m/>
    <m/>
    <x v="2"/>
    <m/>
    <n v="109.34"/>
    <m/>
    <m/>
    <n v="97.39"/>
    <m/>
    <m/>
    <n v="43813"/>
    <m/>
    <m/>
    <n v="77769"/>
    <m/>
    <m/>
    <x v="53"/>
  </r>
  <r>
    <x v="13"/>
    <m/>
    <m/>
    <x v="3"/>
    <m/>
    <n v="117.11"/>
    <m/>
    <m/>
    <n v="105.22"/>
    <m/>
    <m/>
    <n v="44743"/>
    <m/>
    <m/>
    <n v="79419"/>
    <m/>
    <m/>
    <x v="54"/>
  </r>
  <r>
    <x v="14"/>
    <m/>
    <m/>
    <x v="0"/>
    <m/>
    <n v="109.66"/>
    <m/>
    <m/>
    <n v="97.82"/>
    <m/>
    <m/>
    <n v="54000"/>
    <m/>
    <m/>
    <n v="54000"/>
    <m/>
    <m/>
    <x v="55"/>
  </r>
  <r>
    <x v="14"/>
    <m/>
    <m/>
    <x v="1"/>
    <m/>
    <n v="107.41"/>
    <m/>
    <m/>
    <n v="95.65"/>
    <m/>
    <m/>
    <n v="56450"/>
    <m/>
    <m/>
    <n v="56450"/>
    <m/>
    <m/>
    <x v="56"/>
  </r>
  <r>
    <x v="14"/>
    <m/>
    <m/>
    <x v="2"/>
    <m/>
    <n v="108.5"/>
    <m/>
    <m/>
    <n v="96.55"/>
    <m/>
    <m/>
    <n v="60260"/>
    <m/>
    <m/>
    <n v="60260"/>
    <m/>
    <m/>
    <x v="57"/>
  </r>
  <r>
    <x v="14"/>
    <m/>
    <m/>
    <x v="3"/>
    <m/>
    <n v="116.27"/>
    <m/>
    <m/>
    <n v="104.38"/>
    <m/>
    <m/>
    <n v="60009"/>
    <m/>
    <m/>
    <n v="60009"/>
    <m/>
    <m/>
    <x v="58"/>
  </r>
  <r>
    <x v="15"/>
    <m/>
    <m/>
    <x v="0"/>
    <m/>
    <n v="109.66"/>
    <m/>
    <m/>
    <n v="97.82"/>
    <m/>
    <m/>
    <n v="34000"/>
    <m/>
    <m/>
    <n v="68000"/>
    <m/>
    <m/>
    <x v="59"/>
  </r>
  <r>
    <x v="15"/>
    <m/>
    <m/>
    <x v="1"/>
    <m/>
    <n v="107.41"/>
    <m/>
    <m/>
    <n v="95.65"/>
    <m/>
    <m/>
    <n v="35063"/>
    <m/>
    <m/>
    <n v="70125"/>
    <m/>
    <m/>
    <x v="60"/>
  </r>
  <r>
    <x v="15"/>
    <m/>
    <m/>
    <x v="2"/>
    <m/>
    <n v="108.5"/>
    <m/>
    <m/>
    <n v="96.55"/>
    <m/>
    <m/>
    <n v="37320"/>
    <m/>
    <m/>
    <n v="74640"/>
    <m/>
    <m/>
    <x v="61"/>
  </r>
  <r>
    <x v="15"/>
    <m/>
    <m/>
    <x v="3"/>
    <m/>
    <n v="116.27"/>
    <m/>
    <m/>
    <n v="104.38"/>
    <m/>
    <m/>
    <n v="37139"/>
    <m/>
    <m/>
    <n v="74277"/>
    <m/>
    <m/>
    <x v="62"/>
  </r>
  <r>
    <x v="16"/>
    <m/>
    <m/>
    <x v="0"/>
    <m/>
    <n v="108.91"/>
    <m/>
    <m/>
    <n v="97.07"/>
    <m/>
    <m/>
    <n v="198000"/>
    <m/>
    <m/>
    <n v="313000"/>
    <m/>
    <m/>
    <x v="63"/>
  </r>
  <r>
    <x v="16"/>
    <m/>
    <m/>
    <x v="1"/>
    <m/>
    <n v="106.66"/>
    <m/>
    <m/>
    <n v="94.9"/>
    <m/>
    <m/>
    <n v="205709"/>
    <m/>
    <m/>
    <n v="325187"/>
    <m/>
    <m/>
    <x v="64"/>
  </r>
  <r>
    <x v="16"/>
    <m/>
    <m/>
    <x v="2"/>
    <m/>
    <n v="107.75"/>
    <m/>
    <m/>
    <n v="95.8"/>
    <m/>
    <m/>
    <n v="218716"/>
    <m/>
    <m/>
    <n v="345749"/>
    <m/>
    <m/>
    <x v="65"/>
  </r>
  <r>
    <x v="16"/>
    <m/>
    <m/>
    <x v="3"/>
    <m/>
    <n v="115.52"/>
    <m/>
    <m/>
    <n v="103.63"/>
    <m/>
    <m/>
    <n v="218303"/>
    <m/>
    <m/>
    <n v="345096"/>
    <m/>
    <m/>
    <x v="66"/>
  </r>
  <r>
    <x v="17"/>
    <m/>
    <m/>
    <x v="0"/>
    <m/>
    <n v="109.66"/>
    <m/>
    <m/>
    <n v="97.82"/>
    <m/>
    <m/>
    <n v="46000"/>
    <m/>
    <m/>
    <n v="61000"/>
    <m/>
    <m/>
    <x v="47"/>
  </r>
  <r>
    <x v="17"/>
    <m/>
    <m/>
    <x v="1"/>
    <m/>
    <n v="107.41"/>
    <m/>
    <m/>
    <n v="95.65"/>
    <m/>
    <m/>
    <n v="48269"/>
    <m/>
    <m/>
    <n v="64009"/>
    <m/>
    <m/>
    <x v="67"/>
  </r>
  <r>
    <x v="17"/>
    <m/>
    <m/>
    <x v="2"/>
    <m/>
    <n v="108.5"/>
    <m/>
    <m/>
    <n v="96.55"/>
    <m/>
    <m/>
    <n v="51471"/>
    <m/>
    <m/>
    <n v="68254"/>
    <m/>
    <m/>
    <x v="68"/>
  </r>
  <r>
    <x v="17"/>
    <m/>
    <m/>
    <x v="3"/>
    <m/>
    <n v="116.27"/>
    <m/>
    <m/>
    <n v="104.38"/>
    <m/>
    <m/>
    <n v="51075"/>
    <m/>
    <m/>
    <n v="67730"/>
    <m/>
    <m/>
    <x v="69"/>
  </r>
  <r>
    <x v="18"/>
    <m/>
    <m/>
    <x v="0"/>
    <m/>
    <n v="109.66"/>
    <m/>
    <m/>
    <n v="97.82"/>
    <m/>
    <m/>
    <n v="35000"/>
    <m/>
    <m/>
    <n v="47000"/>
    <m/>
    <m/>
    <x v="70"/>
  </r>
  <r>
    <x v="18"/>
    <m/>
    <m/>
    <x v="1"/>
    <m/>
    <n v="107.41"/>
    <m/>
    <m/>
    <n v="95.65"/>
    <m/>
    <m/>
    <n v="36791"/>
    <m/>
    <m/>
    <n v="49405"/>
    <m/>
    <m/>
    <x v="71"/>
  </r>
  <r>
    <x v="18"/>
    <m/>
    <m/>
    <x v="2"/>
    <m/>
    <n v="108.5"/>
    <m/>
    <m/>
    <n v="96.55"/>
    <m/>
    <m/>
    <n v="38659"/>
    <m/>
    <m/>
    <n v="51913"/>
    <m/>
    <m/>
    <x v="72"/>
  </r>
  <r>
    <x v="18"/>
    <m/>
    <m/>
    <x v="3"/>
    <m/>
    <n v="116.27"/>
    <m/>
    <m/>
    <n v="104.38"/>
    <m/>
    <m/>
    <n v="41049"/>
    <m/>
    <m/>
    <n v="55124"/>
    <m/>
    <m/>
    <x v="73"/>
  </r>
  <r>
    <x v="19"/>
    <m/>
    <m/>
    <x v="0"/>
    <m/>
    <n v="109.66"/>
    <m/>
    <m/>
    <n v="97.82"/>
    <m/>
    <m/>
    <n v="71000"/>
    <m/>
    <m/>
    <n v="149000"/>
    <m/>
    <m/>
    <x v="74"/>
  </r>
  <r>
    <x v="19"/>
    <m/>
    <m/>
    <x v="1"/>
    <m/>
    <n v="107.41"/>
    <m/>
    <m/>
    <n v="95.65"/>
    <m/>
    <m/>
    <n v="74513"/>
    <m/>
    <m/>
    <n v="156372"/>
    <m/>
    <m/>
    <x v="75"/>
  </r>
  <r>
    <x v="19"/>
    <m/>
    <m/>
    <x v="2"/>
    <m/>
    <n v="108.5"/>
    <m/>
    <m/>
    <n v="96.55"/>
    <m/>
    <m/>
    <n v="76549"/>
    <m/>
    <m/>
    <n v="160644"/>
    <m/>
    <m/>
    <x v="76"/>
  </r>
  <r>
    <x v="19"/>
    <m/>
    <m/>
    <x v="3"/>
    <m/>
    <n v="116.27"/>
    <m/>
    <m/>
    <n v="104.38"/>
    <m/>
    <m/>
    <n v="77439"/>
    <m/>
    <m/>
    <n v="162513"/>
    <m/>
    <m/>
    <x v="77"/>
  </r>
  <r>
    <x v="20"/>
    <m/>
    <m/>
    <x v="0"/>
    <m/>
    <n v="109.66"/>
    <m/>
    <m/>
    <n v="97.82"/>
    <m/>
    <m/>
    <n v="40000"/>
    <m/>
    <m/>
    <n v="47000"/>
    <m/>
    <m/>
    <x v="23"/>
  </r>
  <r>
    <x v="20"/>
    <m/>
    <m/>
    <x v="1"/>
    <m/>
    <n v="107.41"/>
    <m/>
    <m/>
    <n v="95.65"/>
    <m/>
    <m/>
    <n v="42340"/>
    <m/>
    <m/>
    <n v="49749"/>
    <m/>
    <m/>
    <x v="78"/>
  </r>
  <r>
    <x v="20"/>
    <m/>
    <m/>
    <x v="2"/>
    <m/>
    <n v="108.5"/>
    <m/>
    <m/>
    <n v="96.55"/>
    <m/>
    <m/>
    <n v="43471"/>
    <m/>
    <m/>
    <n v="51078"/>
    <m/>
    <m/>
    <x v="79"/>
  </r>
  <r>
    <x v="20"/>
    <m/>
    <m/>
    <x v="3"/>
    <m/>
    <n v="116.27"/>
    <m/>
    <m/>
    <n v="104.38"/>
    <m/>
    <m/>
    <n v="45235"/>
    <m/>
    <m/>
    <n v="53151"/>
    <m/>
    <m/>
    <x v="80"/>
  </r>
  <r>
    <x v="21"/>
    <m/>
    <m/>
    <x v="0"/>
    <m/>
    <n v="109.66"/>
    <m/>
    <m/>
    <n v="97.82"/>
    <m/>
    <m/>
    <n v="39000"/>
    <m/>
    <m/>
    <n v="43000"/>
    <m/>
    <m/>
    <x v="70"/>
  </r>
  <r>
    <x v="21"/>
    <m/>
    <m/>
    <x v="1"/>
    <m/>
    <n v="107.41"/>
    <m/>
    <m/>
    <n v="95.65"/>
    <m/>
    <m/>
    <n v="40699"/>
    <m/>
    <m/>
    <n v="44873"/>
    <m/>
    <m/>
    <x v="81"/>
  </r>
  <r>
    <x v="21"/>
    <m/>
    <m/>
    <x v="2"/>
    <m/>
    <n v="108.5"/>
    <m/>
    <m/>
    <n v="96.55"/>
    <m/>
    <m/>
    <n v="41681"/>
    <m/>
    <m/>
    <n v="45956"/>
    <m/>
    <m/>
    <x v="82"/>
  </r>
  <r>
    <x v="21"/>
    <m/>
    <m/>
    <x v="3"/>
    <m/>
    <n v="116.27"/>
    <m/>
    <m/>
    <n v="104.38"/>
    <m/>
    <m/>
    <n v="44889"/>
    <m/>
    <m/>
    <n v="49493"/>
    <m/>
    <m/>
    <x v="83"/>
  </r>
  <r>
    <x v="22"/>
    <m/>
    <m/>
    <x v="0"/>
    <m/>
    <n v="110.06"/>
    <m/>
    <m/>
    <n v="98.22"/>
    <m/>
    <m/>
    <n v="95000"/>
    <m/>
    <m/>
    <n v="113000"/>
    <m/>
    <m/>
    <x v="84"/>
  </r>
  <r>
    <x v="22"/>
    <m/>
    <m/>
    <x v="1"/>
    <m/>
    <n v="107.81"/>
    <m/>
    <m/>
    <n v="96.05"/>
    <m/>
    <m/>
    <n v="100640"/>
    <m/>
    <m/>
    <n v="119709"/>
    <m/>
    <m/>
    <x v="85"/>
  </r>
  <r>
    <x v="22"/>
    <m/>
    <m/>
    <x v="2"/>
    <m/>
    <n v="108.9"/>
    <m/>
    <m/>
    <n v="96.95"/>
    <m/>
    <m/>
    <n v="105909"/>
    <m/>
    <m/>
    <n v="125976"/>
    <m/>
    <m/>
    <x v="86"/>
  </r>
  <r>
    <x v="22"/>
    <m/>
    <m/>
    <x v="3"/>
    <m/>
    <n v="116.67"/>
    <m/>
    <m/>
    <n v="104.78"/>
    <m/>
    <m/>
    <n v="108310"/>
    <m/>
    <m/>
    <n v="128831"/>
    <m/>
    <m/>
    <x v="87"/>
  </r>
  <r>
    <x v="23"/>
    <m/>
    <m/>
    <x v="0"/>
    <m/>
    <n v="109.66"/>
    <m/>
    <m/>
    <n v="97.82"/>
    <m/>
    <m/>
    <n v="20000"/>
    <m/>
    <m/>
    <n v="47000"/>
    <m/>
    <m/>
    <x v="88"/>
  </r>
  <r>
    <x v="23"/>
    <m/>
    <m/>
    <x v="1"/>
    <m/>
    <n v="107.41"/>
    <m/>
    <m/>
    <n v="95.65"/>
    <m/>
    <m/>
    <n v="20816"/>
    <m/>
    <m/>
    <n v="48918"/>
    <m/>
    <m/>
    <x v="89"/>
  </r>
  <r>
    <x v="23"/>
    <m/>
    <m/>
    <x v="2"/>
    <m/>
    <n v="108.5"/>
    <m/>
    <m/>
    <n v="96.55"/>
    <m/>
    <m/>
    <n v="21591"/>
    <m/>
    <m/>
    <n v="50739"/>
    <m/>
    <m/>
    <x v="90"/>
  </r>
  <r>
    <x v="23"/>
    <m/>
    <m/>
    <x v="3"/>
    <m/>
    <n v="116.27"/>
    <m/>
    <m/>
    <n v="104.38"/>
    <m/>
    <m/>
    <n v="23300"/>
    <m/>
    <m/>
    <n v="54756"/>
    <m/>
    <m/>
    <x v="91"/>
  </r>
  <r>
    <x v="24"/>
    <m/>
    <m/>
    <x v="0"/>
    <m/>
    <n v="109.66"/>
    <m/>
    <m/>
    <n v="97.82"/>
    <m/>
    <m/>
    <n v="21000"/>
    <m/>
    <m/>
    <n v="53000"/>
    <m/>
    <m/>
    <x v="92"/>
  </r>
  <r>
    <x v="24"/>
    <m/>
    <m/>
    <x v="1"/>
    <m/>
    <n v="107.41"/>
    <m/>
    <m/>
    <n v="95.65"/>
    <m/>
    <m/>
    <n v="21912"/>
    <m/>
    <m/>
    <n v="55301"/>
    <m/>
    <m/>
    <x v="93"/>
  </r>
  <r>
    <x v="24"/>
    <m/>
    <m/>
    <x v="2"/>
    <m/>
    <n v="108.5"/>
    <m/>
    <m/>
    <n v="96.55"/>
    <m/>
    <m/>
    <n v="22661"/>
    <m/>
    <m/>
    <n v="57191"/>
    <m/>
    <m/>
    <x v="94"/>
  </r>
  <r>
    <x v="24"/>
    <m/>
    <m/>
    <x v="3"/>
    <m/>
    <n v="116.27"/>
    <m/>
    <m/>
    <n v="104.38"/>
    <m/>
    <m/>
    <n v="23097"/>
    <m/>
    <m/>
    <n v="58294"/>
    <m/>
    <m/>
    <x v="95"/>
  </r>
  <r>
    <x v="25"/>
    <m/>
    <m/>
    <x v="0"/>
    <m/>
    <n v="108.96"/>
    <m/>
    <m/>
    <n v="97.12"/>
    <m/>
    <m/>
    <n v="214000"/>
    <m/>
    <m/>
    <n v="298000"/>
    <m/>
    <m/>
    <x v="96"/>
  </r>
  <r>
    <x v="25"/>
    <m/>
    <m/>
    <x v="1"/>
    <m/>
    <n v="106.71"/>
    <m/>
    <m/>
    <n v="94.95"/>
    <m/>
    <m/>
    <n v="222381"/>
    <m/>
    <m/>
    <n v="309670"/>
    <m/>
    <m/>
    <x v="97"/>
  </r>
  <r>
    <x v="25"/>
    <m/>
    <m/>
    <x v="2"/>
    <m/>
    <n v="107.8"/>
    <m/>
    <m/>
    <n v="95.85"/>
    <m/>
    <m/>
    <n v="238440"/>
    <m/>
    <m/>
    <n v="332034"/>
    <m/>
    <m/>
    <x v="98"/>
  </r>
  <r>
    <x v="25"/>
    <m/>
    <m/>
    <x v="3"/>
    <m/>
    <n v="115.57"/>
    <m/>
    <m/>
    <n v="103.68"/>
    <m/>
    <m/>
    <n v="245157"/>
    <m/>
    <m/>
    <n v="341387"/>
    <m/>
    <m/>
    <x v="99"/>
  </r>
  <r>
    <x v="26"/>
    <m/>
    <m/>
    <x v="0"/>
    <m/>
    <n v="108.52"/>
    <m/>
    <m/>
    <n v="96.68"/>
    <m/>
    <m/>
    <n v="61000"/>
    <m/>
    <m/>
    <n v="159000"/>
    <m/>
    <m/>
    <x v="74"/>
  </r>
  <r>
    <x v="26"/>
    <m/>
    <m/>
    <x v="1"/>
    <m/>
    <n v="106.27"/>
    <m/>
    <m/>
    <n v="94.51"/>
    <m/>
    <m/>
    <n v="63971"/>
    <m/>
    <m/>
    <n v="166744"/>
    <m/>
    <m/>
    <x v="100"/>
  </r>
  <r>
    <x v="26"/>
    <m/>
    <m/>
    <x v="2"/>
    <m/>
    <n v="107.36"/>
    <m/>
    <m/>
    <n v="95.41"/>
    <m/>
    <m/>
    <n v="67302"/>
    <m/>
    <m/>
    <n v="175427"/>
    <m/>
    <m/>
    <x v="101"/>
  </r>
  <r>
    <x v="26"/>
    <m/>
    <m/>
    <x v="3"/>
    <m/>
    <n v="115.13"/>
    <m/>
    <m/>
    <n v="103.24"/>
    <m/>
    <m/>
    <n v="67641"/>
    <m/>
    <m/>
    <n v="176311"/>
    <m/>
    <m/>
    <x v="102"/>
  </r>
  <r>
    <x v="27"/>
    <m/>
    <m/>
    <x v="0"/>
    <m/>
    <n v="109.66"/>
    <m/>
    <m/>
    <n v="97.82"/>
    <m/>
    <m/>
    <n v="27000"/>
    <m/>
    <m/>
    <n v="50000"/>
    <m/>
    <m/>
    <x v="103"/>
  </r>
  <r>
    <x v="27"/>
    <m/>
    <m/>
    <x v="1"/>
    <m/>
    <n v="107.41"/>
    <m/>
    <m/>
    <n v="95.65"/>
    <m/>
    <m/>
    <n v="27932"/>
    <m/>
    <m/>
    <n v="51726"/>
    <m/>
    <m/>
    <x v="104"/>
  </r>
  <r>
    <x v="27"/>
    <m/>
    <m/>
    <x v="2"/>
    <m/>
    <n v="108.5"/>
    <m/>
    <m/>
    <n v="96.55"/>
    <m/>
    <m/>
    <n v="28839"/>
    <m/>
    <m/>
    <n v="53406"/>
    <m/>
    <m/>
    <x v="105"/>
  </r>
  <r>
    <x v="27"/>
    <m/>
    <m/>
    <x v="3"/>
    <m/>
    <n v="116.27"/>
    <m/>
    <m/>
    <n v="104.38"/>
    <m/>
    <m/>
    <n v="30680"/>
    <m/>
    <m/>
    <n v="56814"/>
    <m/>
    <m/>
    <x v="106"/>
  </r>
  <r>
    <x v="28"/>
    <m/>
    <m/>
    <x v="0"/>
    <m/>
    <n v="109.66"/>
    <m/>
    <m/>
    <n v="97.82"/>
    <m/>
    <m/>
    <n v="54000"/>
    <m/>
    <m/>
    <n v="69000"/>
    <m/>
    <m/>
    <x v="107"/>
  </r>
  <r>
    <x v="28"/>
    <m/>
    <m/>
    <x v="1"/>
    <m/>
    <n v="107.41"/>
    <m/>
    <m/>
    <n v="95.65"/>
    <m/>
    <m/>
    <n v="56476"/>
    <m/>
    <m/>
    <n v="72164"/>
    <m/>
    <m/>
    <x v="108"/>
  </r>
  <r>
    <x v="28"/>
    <m/>
    <m/>
    <x v="2"/>
    <m/>
    <n v="108.5"/>
    <m/>
    <m/>
    <n v="96.55"/>
    <m/>
    <m/>
    <n v="57820"/>
    <m/>
    <m/>
    <n v="73881"/>
    <m/>
    <m/>
    <x v="109"/>
  </r>
  <r>
    <x v="28"/>
    <m/>
    <m/>
    <x v="3"/>
    <m/>
    <n v="116.27"/>
    <m/>
    <m/>
    <n v="104.38"/>
    <m/>
    <m/>
    <n v="60330"/>
    <m/>
    <m/>
    <n v="77088"/>
    <m/>
    <m/>
    <x v="110"/>
  </r>
  <r>
    <x v="29"/>
    <m/>
    <m/>
    <x v="0"/>
    <m/>
    <n v="109.66"/>
    <m/>
    <m/>
    <n v="97.82"/>
    <m/>
    <m/>
    <n v="21000"/>
    <m/>
    <m/>
    <n v="59000"/>
    <m/>
    <m/>
    <x v="111"/>
  </r>
  <r>
    <x v="29"/>
    <m/>
    <m/>
    <x v="1"/>
    <m/>
    <n v="107.41"/>
    <m/>
    <m/>
    <n v="95.65"/>
    <m/>
    <m/>
    <n v="21961"/>
    <m/>
    <m/>
    <n v="61700"/>
    <m/>
    <m/>
    <x v="112"/>
  </r>
  <r>
    <x v="29"/>
    <m/>
    <m/>
    <x v="2"/>
    <m/>
    <n v="108.5"/>
    <m/>
    <m/>
    <n v="96.55"/>
    <m/>
    <m/>
    <n v="23500"/>
    <m/>
    <m/>
    <n v="66025"/>
    <m/>
    <m/>
    <x v="113"/>
  </r>
  <r>
    <x v="29"/>
    <m/>
    <m/>
    <x v="3"/>
    <m/>
    <n v="116.27"/>
    <m/>
    <m/>
    <n v="104.38"/>
    <m/>
    <m/>
    <n v="23493"/>
    <m/>
    <m/>
    <n v="66005"/>
    <m/>
    <m/>
    <x v="114"/>
  </r>
  <r>
    <x v="30"/>
    <m/>
    <m/>
    <x v="0"/>
    <m/>
    <n v="109.66"/>
    <m/>
    <m/>
    <n v="97.82"/>
    <m/>
    <m/>
    <n v="28000"/>
    <m/>
    <m/>
    <n v="82000"/>
    <m/>
    <m/>
    <x v="115"/>
  </r>
  <r>
    <x v="30"/>
    <m/>
    <m/>
    <x v="1"/>
    <m/>
    <n v="107.41"/>
    <m/>
    <m/>
    <n v="95.65"/>
    <m/>
    <m/>
    <n v="29035"/>
    <m/>
    <m/>
    <n v="85031"/>
    <m/>
    <m/>
    <x v="116"/>
  </r>
  <r>
    <x v="30"/>
    <m/>
    <m/>
    <x v="2"/>
    <m/>
    <n v="108.5"/>
    <m/>
    <m/>
    <n v="96.55"/>
    <m/>
    <m/>
    <n v="30497"/>
    <m/>
    <m/>
    <n v="89313"/>
    <m/>
    <m/>
    <x v="117"/>
  </r>
  <r>
    <x v="30"/>
    <m/>
    <m/>
    <x v="3"/>
    <m/>
    <n v="116.27"/>
    <m/>
    <m/>
    <n v="104.38"/>
    <m/>
    <m/>
    <n v="31983"/>
    <m/>
    <m/>
    <n v="93663"/>
    <m/>
    <m/>
    <x v="118"/>
  </r>
  <r>
    <x v="31"/>
    <m/>
    <m/>
    <x v="0"/>
    <m/>
    <n v="109.76"/>
    <m/>
    <m/>
    <n v="97.92"/>
    <m/>
    <m/>
    <n v="42000"/>
    <m/>
    <m/>
    <n v="78000"/>
    <m/>
    <m/>
    <x v="119"/>
  </r>
  <r>
    <x v="31"/>
    <m/>
    <m/>
    <x v="1"/>
    <m/>
    <n v="107.51"/>
    <m/>
    <m/>
    <n v="95.75"/>
    <m/>
    <m/>
    <n v="44209"/>
    <m/>
    <m/>
    <n v="82102"/>
    <m/>
    <m/>
    <x v="120"/>
  </r>
  <r>
    <x v="31"/>
    <m/>
    <m/>
    <x v="2"/>
    <m/>
    <n v="108.6"/>
    <m/>
    <m/>
    <n v="96.65"/>
    <m/>
    <m/>
    <n v="46709"/>
    <m/>
    <m/>
    <n v="86745"/>
    <m/>
    <m/>
    <x v="121"/>
  </r>
  <r>
    <x v="31"/>
    <m/>
    <m/>
    <x v="3"/>
    <m/>
    <n v="116.37"/>
    <m/>
    <m/>
    <n v="104.48"/>
    <m/>
    <m/>
    <n v="48716"/>
    <m/>
    <m/>
    <n v="90473"/>
    <m/>
    <m/>
    <x v="122"/>
  </r>
  <r>
    <x v="32"/>
    <m/>
    <m/>
    <x v="0"/>
    <m/>
    <n v="109.66"/>
    <m/>
    <m/>
    <n v="97.82"/>
    <m/>
    <m/>
    <n v="54000"/>
    <m/>
    <m/>
    <n v="83000"/>
    <m/>
    <m/>
    <x v="123"/>
  </r>
  <r>
    <x v="32"/>
    <m/>
    <m/>
    <x v="1"/>
    <m/>
    <n v="107.41"/>
    <m/>
    <m/>
    <n v="95.65"/>
    <m/>
    <m/>
    <n v="56958"/>
    <m/>
    <m/>
    <n v="87547"/>
    <m/>
    <m/>
    <x v="124"/>
  </r>
  <r>
    <x v="32"/>
    <m/>
    <m/>
    <x v="2"/>
    <m/>
    <n v="108.5"/>
    <m/>
    <m/>
    <n v="96.55"/>
    <m/>
    <m/>
    <n v="59985"/>
    <m/>
    <m/>
    <n v="92199"/>
    <m/>
    <m/>
    <x v="125"/>
  </r>
  <r>
    <x v="32"/>
    <m/>
    <m/>
    <x v="3"/>
    <m/>
    <n v="116.27"/>
    <m/>
    <m/>
    <n v="104.38"/>
    <m/>
    <m/>
    <n v="62196"/>
    <m/>
    <m/>
    <n v="95598"/>
    <m/>
    <m/>
    <x v="12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2">
  <r>
    <x v="0"/>
  </r>
  <r>
    <x v="1"/>
  </r>
  <r>
    <x v="2"/>
  </r>
  <r>
    <x v="3"/>
  </r>
  <r>
    <x v="4"/>
  </r>
  <r>
    <x v="5"/>
  </r>
  <r>
    <x v="6"/>
  </r>
  <r>
    <x v="7"/>
  </r>
  <r>
    <x v="8"/>
  </r>
  <r>
    <x v="9"/>
  </r>
  <r>
    <x v="10"/>
  </r>
  <r>
    <x v="11"/>
  </r>
  <r>
    <x v="12"/>
  </r>
  <r>
    <x v="13"/>
  </r>
  <r>
    <x v="9"/>
  </r>
  <r>
    <x v="14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15"/>
  </r>
  <r>
    <x v="16"/>
  </r>
  <r>
    <x v="17"/>
  </r>
  <r>
    <x v="18"/>
  </r>
  <r>
    <x v="27"/>
  </r>
  <r>
    <x v="28"/>
  </r>
  <r>
    <x v="29"/>
  </r>
  <r>
    <x v="30"/>
  </r>
  <r>
    <x v="15"/>
  </r>
  <r>
    <x v="16"/>
  </r>
  <r>
    <x v="17"/>
  </r>
  <r>
    <x v="18"/>
  </r>
  <r>
    <x v="15"/>
  </r>
  <r>
    <x v="16"/>
  </r>
  <r>
    <x v="17"/>
  </r>
  <r>
    <x v="18"/>
  </r>
  <r>
    <x v="31"/>
  </r>
  <r>
    <x v="32"/>
  </r>
  <r>
    <x v="33"/>
  </r>
  <r>
    <x v="34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35"/>
  </r>
  <r>
    <x v="36"/>
  </r>
  <r>
    <x v="37"/>
  </r>
  <r>
    <x v="38"/>
  </r>
  <r>
    <x v="15"/>
  </r>
  <r>
    <x v="16"/>
  </r>
  <r>
    <x v="17"/>
  </r>
  <r>
    <x v="18"/>
  </r>
  <r>
    <x v="15"/>
  </r>
  <r>
    <x v="16"/>
  </r>
  <r>
    <x v="17"/>
  </r>
  <r>
    <x v="18"/>
  </r>
  <r>
    <x v="39"/>
  </r>
  <r>
    <x v="40"/>
  </r>
  <r>
    <x v="41"/>
  </r>
  <r>
    <x v="42"/>
  </r>
  <r>
    <x v="43"/>
  </r>
  <r>
    <x v="44"/>
  </r>
  <r>
    <x v="45"/>
  </r>
  <r>
    <x v="46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15"/>
  </r>
  <r>
    <x v="16"/>
  </r>
  <r>
    <x v="17"/>
  </r>
  <r>
    <x v="18"/>
  </r>
  <r>
    <x v="8"/>
  </r>
  <r>
    <x v="9"/>
  </r>
  <r>
    <x v="10"/>
  </r>
  <r>
    <x v="11"/>
  </r>
  <r>
    <x v="15"/>
  </r>
  <r>
    <x v="16"/>
  </r>
  <r>
    <x v="17"/>
  </r>
  <r>
    <x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89D2C8-38FB-4A78-9914-B1C777F1093E}" name="PivotTable1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38" firstHeaderRow="1" firstDataRow="2" firstDataCol="1"/>
  <pivotFields count="18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fuel consumption(KL)" fld="17" baseField="0" baseItem="0"/>
  </dataFields>
  <chartFormats count="4"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B516F-E4BA-489C-A0F0-B54637C34233}" name="PivotTable1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37" firstHeaderRow="0" firstDataRow="1" firstDataCol="1"/>
  <pivotFields count="18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trol Consumption (KL)" fld="11" baseField="0" baseItem="0"/>
    <dataField name="Sum of Diesel Consumption (KL)" fld="14" baseField="0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B2BE3-C65F-42D3-9B0B-DD48CE1B1CB6}" name="PivotTable1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C8" firstHeaderRow="0" firstDataRow="1" firstDataCol="1"/>
  <pivotFields count="18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etrol Consumption (KL)" fld="11" baseField="0" baseItem="0"/>
    <dataField name="Sum of Diesel Consumption (KL)" fld="14" baseField="0" baseItem="0"/>
  </dataFields>
  <chartFormats count="4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FAE9B-F69F-4346-848B-D2FD88F006DA}" name="PivotTable8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R1:T6" firstHeaderRow="0" firstDataRow="1" firstDataCol="1"/>
  <pivotFields count="18"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etrol Price (INR/Litre)" fld="5" subtotal="average" baseField="0" baseItem="1"/>
    <dataField name="Average of Diesel Price (INR/Litre)" fld="8" subtotal="average" baseField="0" baseItem="1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5B37C5-DFE8-4451-B20B-CD58B41FFED1}" name="PivotTable2" cacheId="608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" firstHeaderRow="0" firstDataRow="0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57CF48-BBB2-4D46-A6D6-5DF3934F0D41}" name="PivotTable1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F38" firstHeaderRow="1" firstDataRow="2" firstDataCol="1"/>
  <pivotFields count="18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Petrol Consumption (KL)" fld="11" baseField="0" baseItem="0"/>
  </dataFields>
  <chartFormats count="4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C78C6C-A50F-4DC6-AF34-B6A61863A7A3}" name="PivotTable6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T1:Y36" firstHeaderRow="1" firstDataRow="2" firstDataCol="1"/>
  <pivotFields count="18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Sum of Diesel Consumption (KL)" fld="14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000EA9-C109-4781-9E6E-E919EE813163}" name="PivotTable1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9:F74" firstHeaderRow="1" firstDataRow="2" firstDataCol="1"/>
  <pivotFields count="18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Diesel Price (INR/Litre)" fld="8" subtotal="average" baseField="0" baseItem="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8078B4-1988-487A-B8FD-88A96BEE534B}" name="PivotTable9" cacheId="60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1:F36" firstHeaderRow="1" firstDataRow="2" firstDataCol="1"/>
  <pivotFields count="18">
    <pivotField axis="axisRow" showAll="0">
      <items count="3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t="default"/>
      </items>
    </pivotField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3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Petrol Price (INR/Litre)" fld="5" subtotal="average" baseField="0" baseItem="0"/>
  </dataFields>
  <chartFormats count="20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4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4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4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7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7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7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E4C0-D1C3-46DF-A849-49D39BDB3FBA}">
  <dimension ref="A1:I38"/>
  <sheetViews>
    <sheetView topLeftCell="B1" zoomScale="69" zoomScaleNormal="124" workbookViewId="0">
      <selection activeCell="B13" sqref="B13"/>
    </sheetView>
  </sheetViews>
  <sheetFormatPr defaultRowHeight="14.45"/>
  <cols>
    <col min="1" max="1" width="30.140625" bestFit="1" customWidth="1"/>
    <col min="2" max="2" width="16.140625" bestFit="1" customWidth="1"/>
    <col min="3" max="5" width="8.5703125" bestFit="1" customWidth="1"/>
    <col min="6" max="6" width="10.7109375" bestFit="1" customWidth="1"/>
  </cols>
  <sheetData>
    <row r="1" spans="1:9">
      <c r="H1" s="9" t="s">
        <v>0</v>
      </c>
      <c r="I1" t="s">
        <v>1</v>
      </c>
    </row>
    <row r="2" spans="1:9">
      <c r="H2" s="9">
        <v>2023</v>
      </c>
      <c r="I2">
        <f>B38</f>
        <v>4963000</v>
      </c>
    </row>
    <row r="3" spans="1:9">
      <c r="A3" s="7" t="s">
        <v>2</v>
      </c>
      <c r="B3" s="7" t="s">
        <v>3</v>
      </c>
      <c r="H3" s="9">
        <v>2024</v>
      </c>
      <c r="I3">
        <f>C38</f>
        <v>5175655</v>
      </c>
    </row>
    <row r="4" spans="1:9">
      <c r="A4" s="7" t="s">
        <v>4</v>
      </c>
      <c r="B4">
        <v>2023</v>
      </c>
      <c r="C4">
        <v>2024</v>
      </c>
      <c r="D4">
        <v>2025</v>
      </c>
      <c r="E4">
        <v>2026</v>
      </c>
      <c r="F4" t="s">
        <v>5</v>
      </c>
      <c r="H4" s="9">
        <v>2025</v>
      </c>
      <c r="I4">
        <f>D38</f>
        <v>5449981</v>
      </c>
    </row>
    <row r="5" spans="1:9">
      <c r="A5" s="8" t="s">
        <v>6</v>
      </c>
      <c r="B5">
        <v>104000</v>
      </c>
      <c r="C5">
        <v>108002</v>
      </c>
      <c r="D5">
        <v>115203</v>
      </c>
      <c r="E5">
        <v>119179</v>
      </c>
      <c r="F5">
        <v>446384</v>
      </c>
      <c r="H5" s="9">
        <v>2026</v>
      </c>
      <c r="I5">
        <f>E38</f>
        <v>5587145</v>
      </c>
    </row>
    <row r="6" spans="1:9">
      <c r="A6" s="8" t="s">
        <v>7</v>
      </c>
      <c r="B6">
        <v>92000</v>
      </c>
      <c r="C6">
        <v>95795</v>
      </c>
      <c r="D6">
        <v>97766</v>
      </c>
      <c r="E6">
        <v>104836</v>
      </c>
      <c r="F6">
        <v>390397</v>
      </c>
    </row>
    <row r="7" spans="1:9">
      <c r="A7" s="8" t="s">
        <v>8</v>
      </c>
      <c r="B7">
        <v>109000</v>
      </c>
      <c r="C7">
        <v>112889</v>
      </c>
      <c r="D7">
        <v>116728</v>
      </c>
      <c r="E7">
        <v>119582</v>
      </c>
      <c r="F7">
        <v>458199</v>
      </c>
    </row>
    <row r="8" spans="1:9">
      <c r="A8" s="8" t="s">
        <v>9</v>
      </c>
      <c r="B8">
        <v>466000</v>
      </c>
      <c r="C8">
        <v>480331</v>
      </c>
      <c r="D8">
        <v>521173</v>
      </c>
      <c r="E8">
        <v>526582</v>
      </c>
      <c r="F8">
        <v>1994086</v>
      </c>
    </row>
    <row r="9" spans="1:9">
      <c r="A9" s="8" t="s">
        <v>10</v>
      </c>
      <c r="B9">
        <v>104000</v>
      </c>
      <c r="C9">
        <v>107605</v>
      </c>
      <c r="D9">
        <v>116078</v>
      </c>
      <c r="E9">
        <v>114980</v>
      </c>
      <c r="F9">
        <v>442663</v>
      </c>
    </row>
    <row r="10" spans="1:9">
      <c r="A10" s="8" t="s">
        <v>11</v>
      </c>
      <c r="B10">
        <v>94000</v>
      </c>
      <c r="C10">
        <v>98842</v>
      </c>
      <c r="D10">
        <v>99824</v>
      </c>
      <c r="E10">
        <v>105385</v>
      </c>
      <c r="F10">
        <v>398051</v>
      </c>
    </row>
    <row r="11" spans="1:9">
      <c r="A11" s="8" t="s">
        <v>12</v>
      </c>
      <c r="B11">
        <v>87000</v>
      </c>
      <c r="C11">
        <v>90243</v>
      </c>
      <c r="D11">
        <v>93746</v>
      </c>
      <c r="E11">
        <v>99391</v>
      </c>
      <c r="F11">
        <v>370380</v>
      </c>
    </row>
    <row r="12" spans="1:9">
      <c r="A12" s="8" t="s">
        <v>13</v>
      </c>
      <c r="B12">
        <v>69000</v>
      </c>
      <c r="C12">
        <v>71235</v>
      </c>
      <c r="D12">
        <v>76447</v>
      </c>
      <c r="E12">
        <v>80644</v>
      </c>
      <c r="F12">
        <v>297326</v>
      </c>
    </row>
    <row r="13" spans="1:9">
      <c r="A13" s="8" t="s">
        <v>14</v>
      </c>
      <c r="B13">
        <v>105000</v>
      </c>
      <c r="C13">
        <v>108960</v>
      </c>
      <c r="D13">
        <v>111319</v>
      </c>
      <c r="E13">
        <v>116999</v>
      </c>
      <c r="F13">
        <v>442278</v>
      </c>
    </row>
    <row r="14" spans="1:9">
      <c r="A14" s="8" t="s">
        <v>15</v>
      </c>
      <c r="B14">
        <v>157000</v>
      </c>
      <c r="C14">
        <v>162774</v>
      </c>
      <c r="D14">
        <v>173665</v>
      </c>
      <c r="E14">
        <v>179414</v>
      </c>
      <c r="F14">
        <v>672853</v>
      </c>
    </row>
    <row r="15" spans="1:9">
      <c r="A15" s="8" t="s">
        <v>16</v>
      </c>
      <c r="B15">
        <v>236000</v>
      </c>
      <c r="C15">
        <v>249249</v>
      </c>
      <c r="D15">
        <v>254519</v>
      </c>
      <c r="E15">
        <v>262165</v>
      </c>
      <c r="F15">
        <v>1001933</v>
      </c>
    </row>
    <row r="16" spans="1:9">
      <c r="A16" s="8" t="s">
        <v>17</v>
      </c>
      <c r="B16">
        <v>95000</v>
      </c>
      <c r="C16">
        <v>100130</v>
      </c>
      <c r="D16">
        <v>101794</v>
      </c>
      <c r="E16">
        <v>104880</v>
      </c>
      <c r="F16">
        <v>401804</v>
      </c>
    </row>
    <row r="17" spans="1:6">
      <c r="A17" s="8" t="s">
        <v>18</v>
      </c>
      <c r="B17">
        <v>107000</v>
      </c>
      <c r="C17">
        <v>110931</v>
      </c>
      <c r="D17">
        <v>117327</v>
      </c>
      <c r="E17">
        <v>122292</v>
      </c>
      <c r="F17">
        <v>457550</v>
      </c>
    </row>
    <row r="18" spans="1:6">
      <c r="A18" s="8" t="s">
        <v>19</v>
      </c>
      <c r="B18">
        <v>111000</v>
      </c>
      <c r="C18">
        <v>115762</v>
      </c>
      <c r="D18">
        <v>121582</v>
      </c>
      <c r="E18">
        <v>124162</v>
      </c>
      <c r="F18">
        <v>472506</v>
      </c>
    </row>
    <row r="19" spans="1:6">
      <c r="A19" s="8" t="s">
        <v>20</v>
      </c>
      <c r="B19">
        <v>108000</v>
      </c>
      <c r="C19">
        <v>112900</v>
      </c>
      <c r="D19">
        <v>120520</v>
      </c>
      <c r="E19">
        <v>120018</v>
      </c>
      <c r="F19">
        <v>461438</v>
      </c>
    </row>
    <row r="20" spans="1:6">
      <c r="A20" s="8" t="s">
        <v>21</v>
      </c>
      <c r="B20">
        <v>102000</v>
      </c>
      <c r="C20">
        <v>105188</v>
      </c>
      <c r="D20">
        <v>111960</v>
      </c>
      <c r="E20">
        <v>111416</v>
      </c>
      <c r="F20">
        <v>430564</v>
      </c>
    </row>
    <row r="21" spans="1:6">
      <c r="A21" s="8" t="s">
        <v>22</v>
      </c>
      <c r="B21">
        <v>511000</v>
      </c>
      <c r="C21">
        <v>530896</v>
      </c>
      <c r="D21">
        <v>564465</v>
      </c>
      <c r="E21">
        <v>563399</v>
      </c>
      <c r="F21">
        <v>2169760</v>
      </c>
    </row>
    <row r="22" spans="1:6">
      <c r="A22" s="8" t="s">
        <v>23</v>
      </c>
      <c r="B22">
        <v>107000</v>
      </c>
      <c r="C22">
        <v>112278</v>
      </c>
      <c r="D22">
        <v>119725</v>
      </c>
      <c r="E22">
        <v>118805</v>
      </c>
      <c r="F22">
        <v>457808</v>
      </c>
    </row>
    <row r="23" spans="1:6">
      <c r="A23" s="8" t="s">
        <v>24</v>
      </c>
      <c r="B23">
        <v>82000</v>
      </c>
      <c r="C23">
        <v>86196</v>
      </c>
      <c r="D23">
        <v>90572</v>
      </c>
      <c r="E23">
        <v>96173</v>
      </c>
      <c r="F23">
        <v>354941</v>
      </c>
    </row>
    <row r="24" spans="1:6">
      <c r="A24" s="8" t="s">
        <v>25</v>
      </c>
      <c r="B24">
        <v>220000</v>
      </c>
      <c r="C24">
        <v>230885</v>
      </c>
      <c r="D24">
        <v>237193</v>
      </c>
      <c r="E24">
        <v>239952</v>
      </c>
      <c r="F24">
        <v>928030</v>
      </c>
    </row>
    <row r="25" spans="1:6">
      <c r="A25" s="8" t="s">
        <v>26</v>
      </c>
      <c r="B25">
        <v>87000</v>
      </c>
      <c r="C25">
        <v>92089</v>
      </c>
      <c r="D25">
        <v>94549</v>
      </c>
      <c r="E25">
        <v>98386</v>
      </c>
      <c r="F25">
        <v>372024</v>
      </c>
    </row>
    <row r="26" spans="1:6">
      <c r="A26" s="8" t="s">
        <v>27</v>
      </c>
      <c r="B26">
        <v>82000</v>
      </c>
      <c r="C26">
        <v>85572</v>
      </c>
      <c r="D26">
        <v>87637</v>
      </c>
      <c r="E26">
        <v>94382</v>
      </c>
      <c r="F26">
        <v>349591</v>
      </c>
    </row>
    <row r="27" spans="1:6">
      <c r="A27" s="8" t="s">
        <v>28</v>
      </c>
      <c r="B27">
        <v>208000</v>
      </c>
      <c r="C27">
        <v>220349</v>
      </c>
      <c r="D27">
        <v>231885</v>
      </c>
      <c r="E27">
        <v>237141</v>
      </c>
      <c r="F27">
        <v>897375</v>
      </c>
    </row>
    <row r="28" spans="1:6">
      <c r="A28" s="8" t="s">
        <v>29</v>
      </c>
      <c r="B28">
        <v>67000</v>
      </c>
      <c r="C28">
        <v>69734</v>
      </c>
      <c r="D28">
        <v>72330</v>
      </c>
      <c r="E28">
        <v>78056</v>
      </c>
      <c r="F28">
        <v>287120</v>
      </c>
    </row>
    <row r="29" spans="1:6">
      <c r="A29" s="8" t="s">
        <v>30</v>
      </c>
      <c r="B29">
        <v>74000</v>
      </c>
      <c r="C29">
        <v>77213</v>
      </c>
      <c r="D29">
        <v>79852</v>
      </c>
      <c r="E29">
        <v>81391</v>
      </c>
      <c r="F29">
        <v>312456</v>
      </c>
    </row>
    <row r="30" spans="1:6">
      <c r="A30" s="8" t="s">
        <v>31</v>
      </c>
      <c r="B30">
        <v>512000</v>
      </c>
      <c r="C30">
        <v>532051</v>
      </c>
      <c r="D30">
        <v>570474</v>
      </c>
      <c r="E30">
        <v>586544</v>
      </c>
      <c r="F30">
        <v>2201069</v>
      </c>
    </row>
    <row r="31" spans="1:6">
      <c r="A31" s="8" t="s">
        <v>32</v>
      </c>
      <c r="B31">
        <v>220000</v>
      </c>
      <c r="C31">
        <v>230715</v>
      </c>
      <c r="D31">
        <v>242729</v>
      </c>
      <c r="E31">
        <v>243952</v>
      </c>
      <c r="F31">
        <v>937396</v>
      </c>
    </row>
    <row r="32" spans="1:6">
      <c r="A32" s="8" t="s">
        <v>33</v>
      </c>
      <c r="B32">
        <v>77000</v>
      </c>
      <c r="C32">
        <v>79658</v>
      </c>
      <c r="D32">
        <v>82245</v>
      </c>
      <c r="E32">
        <v>87494</v>
      </c>
      <c r="F32">
        <v>326397</v>
      </c>
    </row>
    <row r="33" spans="1:6">
      <c r="A33" s="8" t="s">
        <v>34</v>
      </c>
      <c r="B33">
        <v>123000</v>
      </c>
      <c r="C33">
        <v>128640</v>
      </c>
      <c r="D33">
        <v>131701</v>
      </c>
      <c r="E33">
        <v>137418</v>
      </c>
      <c r="F33">
        <v>520759</v>
      </c>
    </row>
    <row r="34" spans="1:6">
      <c r="A34" s="8" t="s">
        <v>35</v>
      </c>
      <c r="B34">
        <v>80000</v>
      </c>
      <c r="C34">
        <v>83661</v>
      </c>
      <c r="D34">
        <v>89525</v>
      </c>
      <c r="E34">
        <v>89498</v>
      </c>
      <c r="F34">
        <v>342684</v>
      </c>
    </row>
    <row r="35" spans="1:6">
      <c r="A35" s="8" t="s">
        <v>36</v>
      </c>
      <c r="B35">
        <v>110000</v>
      </c>
      <c r="C35">
        <v>114066</v>
      </c>
      <c r="D35">
        <v>119810</v>
      </c>
      <c r="E35">
        <v>125646</v>
      </c>
      <c r="F35">
        <v>469522</v>
      </c>
    </row>
    <row r="36" spans="1:6">
      <c r="A36" s="8" t="s">
        <v>37</v>
      </c>
      <c r="B36">
        <v>120000</v>
      </c>
      <c r="C36">
        <v>126311</v>
      </c>
      <c r="D36">
        <v>133454</v>
      </c>
      <c r="E36">
        <v>139189</v>
      </c>
      <c r="F36">
        <v>518954</v>
      </c>
    </row>
    <row r="37" spans="1:6">
      <c r="A37" s="8" t="s">
        <v>38</v>
      </c>
      <c r="B37">
        <v>137000</v>
      </c>
      <c r="C37">
        <v>144505</v>
      </c>
      <c r="D37">
        <v>152184</v>
      </c>
      <c r="E37">
        <v>157794</v>
      </c>
      <c r="F37">
        <v>591483</v>
      </c>
    </row>
    <row r="38" spans="1:6">
      <c r="A38" s="8" t="s">
        <v>5</v>
      </c>
      <c r="B38">
        <v>4963000</v>
      </c>
      <c r="C38">
        <v>5175655</v>
      </c>
      <c r="D38">
        <v>5449981</v>
      </c>
      <c r="E38">
        <v>5587145</v>
      </c>
      <c r="F38">
        <v>21175781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F6CCB-9F5E-4124-90D3-7D9AA1742038}">
  <dimension ref="A3:C37"/>
  <sheetViews>
    <sheetView topLeftCell="C1" zoomScale="72" workbookViewId="0">
      <selection activeCell="C9" sqref="C9"/>
    </sheetView>
  </sheetViews>
  <sheetFormatPr defaultRowHeight="14.45"/>
  <cols>
    <col min="1" max="1" width="22.42578125" bestFit="1" customWidth="1"/>
    <col min="2" max="2" width="27.5703125" bestFit="1" customWidth="1"/>
    <col min="3" max="3" width="27.7109375" bestFit="1" customWidth="1"/>
  </cols>
  <sheetData>
    <row r="3" spans="1:3">
      <c r="A3" s="7" t="s">
        <v>4</v>
      </c>
      <c r="B3" t="s">
        <v>39</v>
      </c>
      <c r="C3" t="s">
        <v>40</v>
      </c>
    </row>
    <row r="4" spans="1:3">
      <c r="A4" s="8" t="s">
        <v>6</v>
      </c>
      <c r="B4">
        <v>171686</v>
      </c>
      <c r="C4">
        <v>274698</v>
      </c>
    </row>
    <row r="5" spans="1:3">
      <c r="A5" s="8" t="s">
        <v>7</v>
      </c>
      <c r="B5">
        <v>89112</v>
      </c>
      <c r="C5">
        <v>301285</v>
      </c>
    </row>
    <row r="6" spans="1:3">
      <c r="A6" s="8" t="s">
        <v>8</v>
      </c>
      <c r="B6">
        <v>109295</v>
      </c>
      <c r="C6">
        <v>348904</v>
      </c>
    </row>
    <row r="7" spans="1:3">
      <c r="A7" s="8" t="s">
        <v>9</v>
      </c>
      <c r="B7">
        <v>941414</v>
      </c>
      <c r="C7">
        <v>1052672</v>
      </c>
    </row>
    <row r="8" spans="1:3">
      <c r="A8" s="8" t="s">
        <v>10</v>
      </c>
      <c r="B8">
        <v>148973</v>
      </c>
      <c r="C8">
        <v>293690</v>
      </c>
    </row>
    <row r="9" spans="1:3">
      <c r="A9" s="8" t="s">
        <v>11</v>
      </c>
      <c r="B9">
        <v>182087</v>
      </c>
      <c r="C9">
        <v>215964</v>
      </c>
    </row>
    <row r="10" spans="1:3">
      <c r="A10" s="8" t="s">
        <v>12</v>
      </c>
      <c r="B10">
        <v>102174</v>
      </c>
      <c r="C10">
        <v>268206</v>
      </c>
    </row>
    <row r="11" spans="1:3">
      <c r="A11" s="8" t="s">
        <v>13</v>
      </c>
      <c r="B11">
        <v>107727</v>
      </c>
      <c r="C11">
        <v>189599</v>
      </c>
    </row>
    <row r="12" spans="1:3">
      <c r="A12" s="8" t="s">
        <v>14</v>
      </c>
      <c r="B12">
        <v>92668</v>
      </c>
      <c r="C12">
        <v>349610</v>
      </c>
    </row>
    <row r="13" spans="1:3">
      <c r="A13" s="8" t="s">
        <v>15</v>
      </c>
      <c r="B13">
        <v>269998</v>
      </c>
      <c r="C13">
        <v>402855</v>
      </c>
    </row>
    <row r="14" spans="1:3">
      <c r="A14" s="8" t="s">
        <v>16</v>
      </c>
      <c r="B14">
        <v>352375</v>
      </c>
      <c r="C14">
        <v>649558</v>
      </c>
    </row>
    <row r="15" spans="1:3">
      <c r="A15" s="8" t="s">
        <v>17</v>
      </c>
      <c r="B15">
        <v>219935</v>
      </c>
      <c r="C15">
        <v>181869</v>
      </c>
    </row>
    <row r="16" spans="1:3">
      <c r="A16" s="8" t="s">
        <v>18</v>
      </c>
      <c r="B16">
        <v>209532</v>
      </c>
      <c r="C16">
        <v>248018</v>
      </c>
    </row>
    <row r="17" spans="1:3">
      <c r="A17" s="8" t="s">
        <v>19</v>
      </c>
      <c r="B17">
        <v>170272</v>
      </c>
      <c r="C17">
        <v>302234</v>
      </c>
    </row>
    <row r="18" spans="1:3">
      <c r="A18" s="8" t="s">
        <v>20</v>
      </c>
      <c r="B18">
        <v>230719</v>
      </c>
      <c r="C18">
        <v>230719</v>
      </c>
    </row>
    <row r="19" spans="1:3">
      <c r="A19" s="8" t="s">
        <v>21</v>
      </c>
      <c r="B19">
        <v>143522</v>
      </c>
      <c r="C19">
        <v>287042</v>
      </c>
    </row>
    <row r="20" spans="1:3">
      <c r="A20" s="8" t="s">
        <v>22</v>
      </c>
      <c r="B20">
        <v>840728</v>
      </c>
      <c r="C20">
        <v>1329032</v>
      </c>
    </row>
    <row r="21" spans="1:3">
      <c r="A21" s="8" t="s">
        <v>23</v>
      </c>
      <c r="B21">
        <v>196815</v>
      </c>
      <c r="C21">
        <v>260993</v>
      </c>
    </row>
    <row r="22" spans="1:3">
      <c r="A22" s="8" t="s">
        <v>24</v>
      </c>
      <c r="B22">
        <v>151499</v>
      </c>
      <c r="C22">
        <v>203442</v>
      </c>
    </row>
    <row r="23" spans="1:3">
      <c r="A23" s="8" t="s">
        <v>25</v>
      </c>
      <c r="B23">
        <v>299501</v>
      </c>
      <c r="C23">
        <v>628529</v>
      </c>
    </row>
    <row r="24" spans="1:3">
      <c r="A24" s="8" t="s">
        <v>26</v>
      </c>
      <c r="B24">
        <v>171046</v>
      </c>
      <c r="C24">
        <v>200978</v>
      </c>
    </row>
    <row r="25" spans="1:3">
      <c r="A25" s="8" t="s">
        <v>27</v>
      </c>
      <c r="B25">
        <v>166269</v>
      </c>
      <c r="C25">
        <v>183322</v>
      </c>
    </row>
    <row r="26" spans="1:3">
      <c r="A26" s="8" t="s">
        <v>28</v>
      </c>
      <c r="B26">
        <v>409859</v>
      </c>
      <c r="C26">
        <v>487516</v>
      </c>
    </row>
    <row r="27" spans="1:3">
      <c r="A27" s="8" t="s">
        <v>29</v>
      </c>
      <c r="B27">
        <v>85707</v>
      </c>
      <c r="C27">
        <v>201413</v>
      </c>
    </row>
    <row r="28" spans="1:3">
      <c r="A28" s="8" t="s">
        <v>30</v>
      </c>
      <c r="B28">
        <v>88670</v>
      </c>
      <c r="C28">
        <v>223786</v>
      </c>
    </row>
    <row r="29" spans="1:3">
      <c r="A29" s="8" t="s">
        <v>31</v>
      </c>
      <c r="B29">
        <v>919978</v>
      </c>
      <c r="C29">
        <v>1281091</v>
      </c>
    </row>
    <row r="30" spans="1:3">
      <c r="A30" s="8" t="s">
        <v>32</v>
      </c>
      <c r="B30">
        <v>259914</v>
      </c>
      <c r="C30">
        <v>677482</v>
      </c>
    </row>
    <row r="31" spans="1:3">
      <c r="A31" s="8" t="s">
        <v>33</v>
      </c>
      <c r="B31">
        <v>114451</v>
      </c>
      <c r="C31">
        <v>211946</v>
      </c>
    </row>
    <row r="32" spans="1:3">
      <c r="A32" s="8" t="s">
        <v>34</v>
      </c>
      <c r="B32">
        <v>228626</v>
      </c>
      <c r="C32">
        <v>292133</v>
      </c>
    </row>
    <row r="33" spans="1:3">
      <c r="A33" s="8" t="s">
        <v>35</v>
      </c>
      <c r="B33">
        <v>89954</v>
      </c>
      <c r="C33">
        <v>252730</v>
      </c>
    </row>
    <row r="34" spans="1:3">
      <c r="A34" s="8" t="s">
        <v>36</v>
      </c>
      <c r="B34">
        <v>119515</v>
      </c>
      <c r="C34">
        <v>350007</v>
      </c>
    </row>
    <row r="35" spans="1:3">
      <c r="A35" s="8" t="s">
        <v>37</v>
      </c>
      <c r="B35">
        <v>181634</v>
      </c>
      <c r="C35">
        <v>337320</v>
      </c>
    </row>
    <row r="36" spans="1:3">
      <c r="A36" s="8" t="s">
        <v>38</v>
      </c>
      <c r="B36">
        <v>233139</v>
      </c>
      <c r="C36">
        <v>358344</v>
      </c>
    </row>
    <row r="37" spans="1:3">
      <c r="A37" s="8" t="s">
        <v>5</v>
      </c>
      <c r="B37">
        <v>8098794</v>
      </c>
      <c r="C37">
        <v>13076987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13EC3-1E42-4603-B7AE-D09E2741263C}">
  <dimension ref="A1:T18"/>
  <sheetViews>
    <sheetView zoomScale="89" workbookViewId="0">
      <selection activeCell="Q19" sqref="Q19"/>
    </sheetView>
  </sheetViews>
  <sheetFormatPr defaultRowHeight="14.45"/>
  <cols>
    <col min="1" max="1" width="12.42578125" bestFit="1" customWidth="1"/>
    <col min="2" max="2" width="27.5703125" bestFit="1" customWidth="1"/>
    <col min="3" max="4" width="27.7109375" bestFit="1" customWidth="1"/>
    <col min="18" max="18" width="13.7109375" bestFit="1" customWidth="1"/>
    <col min="19" max="19" width="29.5703125" bestFit="1" customWidth="1"/>
    <col min="20" max="20" width="29.85546875" bestFit="1" customWidth="1"/>
    <col min="21" max="21" width="10.85546875" bestFit="1" customWidth="1"/>
  </cols>
  <sheetData>
    <row r="1" spans="1:20">
      <c r="E1" s="6" t="s">
        <v>41</v>
      </c>
      <c r="L1" s="6" t="s">
        <v>42</v>
      </c>
      <c r="R1" s="7" t="s">
        <v>4</v>
      </c>
      <c r="S1" t="s">
        <v>43</v>
      </c>
      <c r="T1" t="s">
        <v>44</v>
      </c>
    </row>
    <row r="2" spans="1:20">
      <c r="R2" s="8">
        <v>2023</v>
      </c>
      <c r="S2">
        <v>109.66757575757573</v>
      </c>
      <c r="T2">
        <v>97.827575757575772</v>
      </c>
    </row>
    <row r="3" spans="1:20">
      <c r="A3" s="7" t="s">
        <v>4</v>
      </c>
      <c r="B3" t="s">
        <v>39</v>
      </c>
      <c r="C3" t="s">
        <v>40</v>
      </c>
      <c r="R3" s="8">
        <v>2024</v>
      </c>
      <c r="S3">
        <v>107.41757575757573</v>
      </c>
      <c r="T3">
        <v>95.657575757575813</v>
      </c>
    </row>
    <row r="4" spans="1:20">
      <c r="A4" s="8">
        <v>2023</v>
      </c>
      <c r="B4">
        <v>1897000</v>
      </c>
      <c r="C4">
        <v>3066000</v>
      </c>
      <c r="R4" s="8">
        <v>2025</v>
      </c>
      <c r="S4">
        <v>108.50757575757576</v>
      </c>
      <c r="T4">
        <v>96.557575757575776</v>
      </c>
    </row>
    <row r="5" spans="1:20">
      <c r="A5" s="8">
        <v>2024</v>
      </c>
      <c r="B5">
        <v>1978488</v>
      </c>
      <c r="C5">
        <v>3197167</v>
      </c>
      <c r="R5" s="8">
        <v>2026</v>
      </c>
      <c r="S5">
        <v>116.27757575757575</v>
      </c>
      <c r="T5">
        <v>104.3875757575758</v>
      </c>
    </row>
    <row r="6" spans="1:20">
      <c r="A6" s="8">
        <v>2025</v>
      </c>
      <c r="B6">
        <v>2085968</v>
      </c>
      <c r="C6">
        <v>3364013</v>
      </c>
      <c r="R6" s="8" t="s">
        <v>5</v>
      </c>
      <c r="S6">
        <v>110.46757575757582</v>
      </c>
      <c r="T6">
        <v>98.607575757575532</v>
      </c>
    </row>
    <row r="7" spans="1:20">
      <c r="A7" s="8">
        <v>2026</v>
      </c>
      <c r="B7">
        <v>2137338</v>
      </c>
      <c r="C7">
        <v>3449807</v>
      </c>
    </row>
    <row r="8" spans="1:20">
      <c r="A8" s="8" t="s">
        <v>5</v>
      </c>
      <c r="B8">
        <v>8098794</v>
      </c>
      <c r="C8">
        <v>13076987</v>
      </c>
    </row>
    <row r="18" spans="7:7">
      <c r="G18" t="s">
        <v>45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A9DF4-9938-41AF-A5B0-2293AA986511}">
  <dimension ref="A1:Y38"/>
  <sheetViews>
    <sheetView zoomScale="42" workbookViewId="0">
      <selection activeCell="N44" sqref="N44"/>
    </sheetView>
  </sheetViews>
  <sheetFormatPr defaultRowHeight="14.45"/>
  <cols>
    <col min="1" max="1" width="27.5703125" bestFit="1" customWidth="1"/>
    <col min="2" max="2" width="15.5703125" bestFit="1" customWidth="1"/>
    <col min="3" max="5" width="8" bestFit="1" customWidth="1"/>
    <col min="6" max="6" width="10.5703125" bestFit="1" customWidth="1"/>
    <col min="18" max="18" width="26.42578125" bestFit="1" customWidth="1"/>
    <col min="20" max="20" width="27.7109375" bestFit="1" customWidth="1"/>
    <col min="21" max="21" width="15.5703125" bestFit="1" customWidth="1"/>
    <col min="22" max="24" width="8" bestFit="1" customWidth="1"/>
    <col min="25" max="25" width="10.5703125" bestFit="1" customWidth="1"/>
  </cols>
  <sheetData>
    <row r="1" spans="1:25">
      <c r="A1" s="10"/>
      <c r="T1" s="7" t="s">
        <v>40</v>
      </c>
      <c r="U1" s="7" t="s">
        <v>3</v>
      </c>
    </row>
    <row r="2" spans="1:25">
      <c r="T2" s="7" t="s">
        <v>4</v>
      </c>
      <c r="U2">
        <v>2023</v>
      </c>
      <c r="V2">
        <v>2024</v>
      </c>
      <c r="W2">
        <v>2025</v>
      </c>
      <c r="X2">
        <v>2026</v>
      </c>
      <c r="Y2" t="s">
        <v>5</v>
      </c>
    </row>
    <row r="3" spans="1:25">
      <c r="A3" s="7" t="s">
        <v>39</v>
      </c>
      <c r="B3" s="7" t="s">
        <v>3</v>
      </c>
      <c r="T3" s="8" t="s">
        <v>6</v>
      </c>
      <c r="U3">
        <v>64000</v>
      </c>
      <c r="V3">
        <v>66463</v>
      </c>
      <c r="W3">
        <v>70894</v>
      </c>
      <c r="X3">
        <v>73341</v>
      </c>
      <c r="Y3">
        <v>274698</v>
      </c>
    </row>
    <row r="4" spans="1:25">
      <c r="A4" s="7" t="s">
        <v>4</v>
      </c>
      <c r="B4">
        <v>2023</v>
      </c>
      <c r="C4">
        <v>2024</v>
      </c>
      <c r="D4">
        <v>2025</v>
      </c>
      <c r="E4">
        <v>2026</v>
      </c>
      <c r="F4" t="s">
        <v>5</v>
      </c>
      <c r="T4" s="8" t="s">
        <v>7</v>
      </c>
      <c r="U4">
        <v>71000</v>
      </c>
      <c r="V4">
        <v>73929</v>
      </c>
      <c r="W4">
        <v>75450</v>
      </c>
      <c r="X4">
        <v>80906</v>
      </c>
      <c r="Y4">
        <v>301285</v>
      </c>
    </row>
    <row r="5" spans="1:25">
      <c r="A5" s="8" t="s">
        <v>6</v>
      </c>
      <c r="B5">
        <v>40000</v>
      </c>
      <c r="C5">
        <v>41539</v>
      </c>
      <c r="D5">
        <v>44309</v>
      </c>
      <c r="E5">
        <v>45838</v>
      </c>
      <c r="F5">
        <v>171686</v>
      </c>
      <c r="T5" s="8" t="s">
        <v>8</v>
      </c>
      <c r="U5">
        <v>83000</v>
      </c>
      <c r="V5">
        <v>85961</v>
      </c>
      <c r="W5">
        <v>88885</v>
      </c>
      <c r="X5">
        <v>91058</v>
      </c>
      <c r="Y5">
        <v>348904</v>
      </c>
    </row>
    <row r="6" spans="1:25">
      <c r="A6" s="8" t="s">
        <v>7</v>
      </c>
      <c r="B6">
        <v>21000</v>
      </c>
      <c r="C6">
        <v>21866</v>
      </c>
      <c r="D6">
        <v>22316</v>
      </c>
      <c r="E6">
        <v>23930</v>
      </c>
      <c r="F6">
        <v>89112</v>
      </c>
      <c r="T6" s="8" t="s">
        <v>9</v>
      </c>
      <c r="U6">
        <v>246000</v>
      </c>
      <c r="V6">
        <v>253565</v>
      </c>
      <c r="W6">
        <v>275126</v>
      </c>
      <c r="X6">
        <v>277981</v>
      </c>
      <c r="Y6">
        <v>1052672</v>
      </c>
    </row>
    <row r="7" spans="1:25">
      <c r="A7" s="8" t="s">
        <v>8</v>
      </c>
      <c r="B7">
        <v>26000</v>
      </c>
      <c r="C7">
        <v>26928</v>
      </c>
      <c r="D7">
        <v>27843</v>
      </c>
      <c r="E7">
        <v>28524</v>
      </c>
      <c r="F7">
        <v>109295</v>
      </c>
      <c r="T7" s="8" t="s">
        <v>10</v>
      </c>
      <c r="U7">
        <v>69000</v>
      </c>
      <c r="V7">
        <v>71392</v>
      </c>
      <c r="W7">
        <v>77013</v>
      </c>
      <c r="X7">
        <v>76285</v>
      </c>
      <c r="Y7">
        <v>293690</v>
      </c>
    </row>
    <row r="8" spans="1:25">
      <c r="A8" s="8" t="s">
        <v>9</v>
      </c>
      <c r="B8">
        <v>220000</v>
      </c>
      <c r="C8">
        <v>226766</v>
      </c>
      <c r="D8">
        <v>246047</v>
      </c>
      <c r="E8">
        <v>248601</v>
      </c>
      <c r="F8">
        <v>941414</v>
      </c>
      <c r="T8" s="8" t="s">
        <v>11</v>
      </c>
      <c r="U8">
        <v>51000</v>
      </c>
      <c r="V8">
        <v>53627</v>
      </c>
      <c r="W8">
        <v>54160</v>
      </c>
      <c r="X8">
        <v>57177</v>
      </c>
      <c r="Y8">
        <v>215964</v>
      </c>
    </row>
    <row r="9" spans="1:25">
      <c r="A9" s="8" t="s">
        <v>10</v>
      </c>
      <c r="B9">
        <v>35000</v>
      </c>
      <c r="C9">
        <v>36213</v>
      </c>
      <c r="D9">
        <v>39065</v>
      </c>
      <c r="E9">
        <v>38695</v>
      </c>
      <c r="F9">
        <v>148973</v>
      </c>
      <c r="T9" s="8" t="s">
        <v>12</v>
      </c>
      <c r="U9">
        <v>63000</v>
      </c>
      <c r="V9">
        <v>65348</v>
      </c>
      <c r="W9">
        <v>67885</v>
      </c>
      <c r="X9">
        <v>71973</v>
      </c>
      <c r="Y9">
        <v>268206</v>
      </c>
    </row>
    <row r="10" spans="1:25">
      <c r="A10" s="8" t="s">
        <v>11</v>
      </c>
      <c r="B10">
        <v>43000</v>
      </c>
      <c r="C10">
        <v>45215</v>
      </c>
      <c r="D10">
        <v>45664</v>
      </c>
      <c r="E10">
        <v>48208</v>
      </c>
      <c r="F10">
        <v>182087</v>
      </c>
      <c r="T10" s="8" t="s">
        <v>13</v>
      </c>
      <c r="U10">
        <v>44000</v>
      </c>
      <c r="V10">
        <v>45425</v>
      </c>
      <c r="W10">
        <v>48749</v>
      </c>
      <c r="X10">
        <v>51425</v>
      </c>
      <c r="Y10">
        <v>189599</v>
      </c>
    </row>
    <row r="11" spans="1:25">
      <c r="A11" s="8" t="s">
        <v>12</v>
      </c>
      <c r="B11">
        <v>24000</v>
      </c>
      <c r="C11">
        <v>24895</v>
      </c>
      <c r="D11">
        <v>25861</v>
      </c>
      <c r="E11">
        <v>27418</v>
      </c>
      <c r="F11">
        <v>102174</v>
      </c>
      <c r="T11" s="8" t="s">
        <v>14</v>
      </c>
      <c r="U11">
        <v>83000</v>
      </c>
      <c r="V11">
        <v>86130</v>
      </c>
      <c r="W11">
        <v>87995</v>
      </c>
      <c r="X11">
        <v>92485</v>
      </c>
      <c r="Y11">
        <v>349610</v>
      </c>
    </row>
    <row r="12" spans="1:25">
      <c r="A12" s="8" t="s">
        <v>13</v>
      </c>
      <c r="B12">
        <v>25000</v>
      </c>
      <c r="C12">
        <v>25810</v>
      </c>
      <c r="D12">
        <v>27698</v>
      </c>
      <c r="E12">
        <v>29219</v>
      </c>
      <c r="F12">
        <v>107727</v>
      </c>
      <c r="T12" s="8" t="s">
        <v>15</v>
      </c>
      <c r="U12">
        <v>94000</v>
      </c>
      <c r="V12">
        <v>97457</v>
      </c>
      <c r="W12">
        <v>103978</v>
      </c>
      <c r="X12">
        <v>107420</v>
      </c>
      <c r="Y12">
        <v>402855</v>
      </c>
    </row>
    <row r="13" spans="1:25">
      <c r="A13" s="8" t="s">
        <v>14</v>
      </c>
      <c r="B13">
        <v>22000</v>
      </c>
      <c r="C13">
        <v>22830</v>
      </c>
      <c r="D13">
        <v>23324</v>
      </c>
      <c r="E13">
        <v>24514</v>
      </c>
      <c r="F13">
        <v>92668</v>
      </c>
      <c r="T13" s="8" t="s">
        <v>16</v>
      </c>
      <c r="U13">
        <v>153000</v>
      </c>
      <c r="V13">
        <v>161589</v>
      </c>
      <c r="W13">
        <v>165006</v>
      </c>
      <c r="X13">
        <v>169963</v>
      </c>
      <c r="Y13">
        <v>649558</v>
      </c>
    </row>
    <row r="14" spans="1:25">
      <c r="A14" s="8" t="s">
        <v>15</v>
      </c>
      <c r="B14">
        <v>63000</v>
      </c>
      <c r="C14">
        <v>65317</v>
      </c>
      <c r="D14">
        <v>69687</v>
      </c>
      <c r="E14">
        <v>71994</v>
      </c>
      <c r="F14">
        <v>269998</v>
      </c>
      <c r="T14" s="8" t="s">
        <v>17</v>
      </c>
      <c r="U14">
        <v>43000</v>
      </c>
      <c r="V14">
        <v>45322</v>
      </c>
      <c r="W14">
        <v>46075</v>
      </c>
      <c r="X14">
        <v>47472</v>
      </c>
      <c r="Y14">
        <v>181869</v>
      </c>
    </row>
    <row r="15" spans="1:25">
      <c r="A15" s="8" t="s">
        <v>16</v>
      </c>
      <c r="B15">
        <v>83000</v>
      </c>
      <c r="C15">
        <v>87660</v>
      </c>
      <c r="D15">
        <v>89513</v>
      </c>
      <c r="E15">
        <v>92202</v>
      </c>
      <c r="F15">
        <v>352375</v>
      </c>
      <c r="T15" s="8" t="s">
        <v>18</v>
      </c>
      <c r="U15">
        <v>58000</v>
      </c>
      <c r="V15">
        <v>60131</v>
      </c>
      <c r="W15">
        <v>63598</v>
      </c>
      <c r="X15">
        <v>66289</v>
      </c>
      <c r="Y15">
        <v>248018</v>
      </c>
    </row>
    <row r="16" spans="1:25">
      <c r="A16" s="8" t="s">
        <v>17</v>
      </c>
      <c r="B16">
        <v>52000</v>
      </c>
      <c r="C16">
        <v>54808</v>
      </c>
      <c r="D16">
        <v>55719</v>
      </c>
      <c r="E16">
        <v>57408</v>
      </c>
      <c r="F16">
        <v>219935</v>
      </c>
      <c r="T16" s="8" t="s">
        <v>19</v>
      </c>
      <c r="U16">
        <v>71000</v>
      </c>
      <c r="V16">
        <v>74046</v>
      </c>
      <c r="W16">
        <v>77769</v>
      </c>
      <c r="X16">
        <v>79419</v>
      </c>
      <c r="Y16">
        <v>302234</v>
      </c>
    </row>
    <row r="17" spans="1:25">
      <c r="A17" s="8" t="s">
        <v>18</v>
      </c>
      <c r="B17">
        <v>49000</v>
      </c>
      <c r="C17">
        <v>50800</v>
      </c>
      <c r="D17">
        <v>53729</v>
      </c>
      <c r="E17">
        <v>56003</v>
      </c>
      <c r="F17">
        <v>209532</v>
      </c>
      <c r="T17" s="8" t="s">
        <v>20</v>
      </c>
      <c r="U17">
        <v>54000</v>
      </c>
      <c r="V17">
        <v>56450</v>
      </c>
      <c r="W17">
        <v>60260</v>
      </c>
      <c r="X17">
        <v>60009</v>
      </c>
      <c r="Y17">
        <v>230719</v>
      </c>
    </row>
    <row r="18" spans="1:25">
      <c r="A18" s="8" t="s">
        <v>19</v>
      </c>
      <c r="B18">
        <v>40000</v>
      </c>
      <c r="C18">
        <v>41716</v>
      </c>
      <c r="D18">
        <v>43813</v>
      </c>
      <c r="E18">
        <v>44743</v>
      </c>
      <c r="F18">
        <v>170272</v>
      </c>
      <c r="T18" s="8" t="s">
        <v>21</v>
      </c>
      <c r="U18">
        <v>68000</v>
      </c>
      <c r="V18">
        <v>70125</v>
      </c>
      <c r="W18">
        <v>74640</v>
      </c>
      <c r="X18">
        <v>74277</v>
      </c>
      <c r="Y18">
        <v>287042</v>
      </c>
    </row>
    <row r="19" spans="1:25">
      <c r="A19" s="8" t="s">
        <v>20</v>
      </c>
      <c r="B19">
        <v>54000</v>
      </c>
      <c r="C19">
        <v>56450</v>
      </c>
      <c r="D19">
        <v>60260</v>
      </c>
      <c r="E19">
        <v>60009</v>
      </c>
      <c r="F19">
        <v>230719</v>
      </c>
      <c r="T19" s="8" t="s">
        <v>22</v>
      </c>
      <c r="U19">
        <v>313000</v>
      </c>
      <c r="V19">
        <v>325187</v>
      </c>
      <c r="W19">
        <v>345749</v>
      </c>
      <c r="X19">
        <v>345096</v>
      </c>
      <c r="Y19">
        <v>1329032</v>
      </c>
    </row>
    <row r="20" spans="1:25">
      <c r="A20" s="8" t="s">
        <v>21</v>
      </c>
      <c r="B20">
        <v>34000</v>
      </c>
      <c r="C20">
        <v>35063</v>
      </c>
      <c r="D20">
        <v>37320</v>
      </c>
      <c r="E20">
        <v>37139</v>
      </c>
      <c r="F20">
        <v>143522</v>
      </c>
      <c r="T20" s="8" t="s">
        <v>23</v>
      </c>
      <c r="U20">
        <v>61000</v>
      </c>
      <c r="V20">
        <v>64009</v>
      </c>
      <c r="W20">
        <v>68254</v>
      </c>
      <c r="X20">
        <v>67730</v>
      </c>
      <c r="Y20">
        <v>260993</v>
      </c>
    </row>
    <row r="21" spans="1:25">
      <c r="A21" s="8" t="s">
        <v>22</v>
      </c>
      <c r="B21">
        <v>198000</v>
      </c>
      <c r="C21">
        <v>205709</v>
      </c>
      <c r="D21">
        <v>218716</v>
      </c>
      <c r="E21">
        <v>218303</v>
      </c>
      <c r="F21">
        <v>840728</v>
      </c>
      <c r="T21" s="8" t="s">
        <v>24</v>
      </c>
      <c r="U21">
        <v>47000</v>
      </c>
      <c r="V21">
        <v>49405</v>
      </c>
      <c r="W21">
        <v>51913</v>
      </c>
      <c r="X21">
        <v>55124</v>
      </c>
      <c r="Y21">
        <v>203442</v>
      </c>
    </row>
    <row r="22" spans="1:25">
      <c r="A22" s="8" t="s">
        <v>23</v>
      </c>
      <c r="B22">
        <v>46000</v>
      </c>
      <c r="C22">
        <v>48269</v>
      </c>
      <c r="D22">
        <v>51471</v>
      </c>
      <c r="E22">
        <v>51075</v>
      </c>
      <c r="F22">
        <v>196815</v>
      </c>
      <c r="T22" s="8" t="s">
        <v>25</v>
      </c>
      <c r="U22">
        <v>149000</v>
      </c>
      <c r="V22">
        <v>156372</v>
      </c>
      <c r="W22">
        <v>160644</v>
      </c>
      <c r="X22">
        <v>162513</v>
      </c>
      <c r="Y22">
        <v>628529</v>
      </c>
    </row>
    <row r="23" spans="1:25">
      <c r="A23" s="8" t="s">
        <v>24</v>
      </c>
      <c r="B23">
        <v>35000</v>
      </c>
      <c r="C23">
        <v>36791</v>
      </c>
      <c r="D23">
        <v>38659</v>
      </c>
      <c r="E23">
        <v>41049</v>
      </c>
      <c r="F23">
        <v>151499</v>
      </c>
      <c r="T23" s="8" t="s">
        <v>26</v>
      </c>
      <c r="U23">
        <v>47000</v>
      </c>
      <c r="V23">
        <v>49749</v>
      </c>
      <c r="W23">
        <v>51078</v>
      </c>
      <c r="X23">
        <v>53151</v>
      </c>
      <c r="Y23">
        <v>200978</v>
      </c>
    </row>
    <row r="24" spans="1:25">
      <c r="A24" s="8" t="s">
        <v>25</v>
      </c>
      <c r="B24">
        <v>71000</v>
      </c>
      <c r="C24">
        <v>74513</v>
      </c>
      <c r="D24">
        <v>76549</v>
      </c>
      <c r="E24">
        <v>77439</v>
      </c>
      <c r="F24">
        <v>299501</v>
      </c>
      <c r="T24" s="8" t="s">
        <v>27</v>
      </c>
      <c r="U24">
        <v>43000</v>
      </c>
      <c r="V24">
        <v>44873</v>
      </c>
      <c r="W24">
        <v>45956</v>
      </c>
      <c r="X24">
        <v>49493</v>
      </c>
      <c r="Y24">
        <v>183322</v>
      </c>
    </row>
    <row r="25" spans="1:25">
      <c r="A25" s="8" t="s">
        <v>26</v>
      </c>
      <c r="B25">
        <v>40000</v>
      </c>
      <c r="C25">
        <v>42340</v>
      </c>
      <c r="D25">
        <v>43471</v>
      </c>
      <c r="E25">
        <v>45235</v>
      </c>
      <c r="F25">
        <v>171046</v>
      </c>
      <c r="T25" s="8" t="s">
        <v>28</v>
      </c>
      <c r="U25">
        <v>113000</v>
      </c>
      <c r="V25">
        <v>119709</v>
      </c>
      <c r="W25">
        <v>125976</v>
      </c>
      <c r="X25">
        <v>128831</v>
      </c>
      <c r="Y25">
        <v>487516</v>
      </c>
    </row>
    <row r="26" spans="1:25">
      <c r="A26" s="8" t="s">
        <v>27</v>
      </c>
      <c r="B26">
        <v>39000</v>
      </c>
      <c r="C26">
        <v>40699</v>
      </c>
      <c r="D26">
        <v>41681</v>
      </c>
      <c r="E26">
        <v>44889</v>
      </c>
      <c r="F26">
        <v>166269</v>
      </c>
      <c r="T26" s="8" t="s">
        <v>29</v>
      </c>
      <c r="U26">
        <v>47000</v>
      </c>
      <c r="V26">
        <v>48918</v>
      </c>
      <c r="W26">
        <v>50739</v>
      </c>
      <c r="X26">
        <v>54756</v>
      </c>
      <c r="Y26">
        <v>201413</v>
      </c>
    </row>
    <row r="27" spans="1:25">
      <c r="A27" s="8" t="s">
        <v>28</v>
      </c>
      <c r="B27">
        <v>95000</v>
      </c>
      <c r="C27">
        <v>100640</v>
      </c>
      <c r="D27">
        <v>105909</v>
      </c>
      <c r="E27">
        <v>108310</v>
      </c>
      <c r="F27">
        <v>409859</v>
      </c>
      <c r="T27" s="8" t="s">
        <v>30</v>
      </c>
      <c r="U27">
        <v>53000</v>
      </c>
      <c r="V27">
        <v>55301</v>
      </c>
      <c r="W27">
        <v>57191</v>
      </c>
      <c r="X27">
        <v>58294</v>
      </c>
      <c r="Y27">
        <v>223786</v>
      </c>
    </row>
    <row r="28" spans="1:25">
      <c r="A28" s="8" t="s">
        <v>29</v>
      </c>
      <c r="B28">
        <v>20000</v>
      </c>
      <c r="C28">
        <v>20816</v>
      </c>
      <c r="D28">
        <v>21591</v>
      </c>
      <c r="E28">
        <v>23300</v>
      </c>
      <c r="F28">
        <v>85707</v>
      </c>
      <c r="T28" s="8" t="s">
        <v>31</v>
      </c>
      <c r="U28">
        <v>298000</v>
      </c>
      <c r="V28">
        <v>309670</v>
      </c>
      <c r="W28">
        <v>332034</v>
      </c>
      <c r="X28">
        <v>341387</v>
      </c>
      <c r="Y28">
        <v>1281091</v>
      </c>
    </row>
    <row r="29" spans="1:25">
      <c r="A29" s="8" t="s">
        <v>30</v>
      </c>
      <c r="B29">
        <v>21000</v>
      </c>
      <c r="C29">
        <v>21912</v>
      </c>
      <c r="D29">
        <v>22661</v>
      </c>
      <c r="E29">
        <v>23097</v>
      </c>
      <c r="F29">
        <v>88670</v>
      </c>
      <c r="T29" s="8" t="s">
        <v>32</v>
      </c>
      <c r="U29">
        <v>159000</v>
      </c>
      <c r="V29">
        <v>166744</v>
      </c>
      <c r="W29">
        <v>175427</v>
      </c>
      <c r="X29">
        <v>176311</v>
      </c>
      <c r="Y29">
        <v>677482</v>
      </c>
    </row>
    <row r="30" spans="1:25">
      <c r="A30" s="8" t="s">
        <v>31</v>
      </c>
      <c r="B30">
        <v>214000</v>
      </c>
      <c r="C30">
        <v>222381</v>
      </c>
      <c r="D30">
        <v>238440</v>
      </c>
      <c r="E30">
        <v>245157</v>
      </c>
      <c r="F30">
        <v>919978</v>
      </c>
      <c r="T30" s="8" t="s">
        <v>33</v>
      </c>
      <c r="U30">
        <v>50000</v>
      </c>
      <c r="V30">
        <v>51726</v>
      </c>
      <c r="W30">
        <v>53406</v>
      </c>
      <c r="X30">
        <v>56814</v>
      </c>
      <c r="Y30">
        <v>211946</v>
      </c>
    </row>
    <row r="31" spans="1:25">
      <c r="A31" s="8" t="s">
        <v>32</v>
      </c>
      <c r="B31">
        <v>61000</v>
      </c>
      <c r="C31">
        <v>63971</v>
      </c>
      <c r="D31">
        <v>67302</v>
      </c>
      <c r="E31">
        <v>67641</v>
      </c>
      <c r="F31">
        <v>259914</v>
      </c>
      <c r="T31" s="8" t="s">
        <v>34</v>
      </c>
      <c r="U31">
        <v>69000</v>
      </c>
      <c r="V31">
        <v>72164</v>
      </c>
      <c r="W31">
        <v>73881</v>
      </c>
      <c r="X31">
        <v>77088</v>
      </c>
      <c r="Y31">
        <v>292133</v>
      </c>
    </row>
    <row r="32" spans="1:25">
      <c r="A32" s="8" t="s">
        <v>33</v>
      </c>
      <c r="B32">
        <v>27000</v>
      </c>
      <c r="C32">
        <v>27932</v>
      </c>
      <c r="D32">
        <v>28839</v>
      </c>
      <c r="E32">
        <v>30680</v>
      </c>
      <c r="F32">
        <v>114451</v>
      </c>
      <c r="T32" s="8" t="s">
        <v>35</v>
      </c>
      <c r="U32">
        <v>59000</v>
      </c>
      <c r="V32">
        <v>61700</v>
      </c>
      <c r="W32">
        <v>66025</v>
      </c>
      <c r="X32">
        <v>66005</v>
      </c>
      <c r="Y32">
        <v>252730</v>
      </c>
    </row>
    <row r="33" spans="1:25">
      <c r="A33" s="8" t="s">
        <v>34</v>
      </c>
      <c r="B33">
        <v>54000</v>
      </c>
      <c r="C33">
        <v>56476</v>
      </c>
      <c r="D33">
        <v>57820</v>
      </c>
      <c r="E33">
        <v>60330</v>
      </c>
      <c r="F33">
        <v>228626</v>
      </c>
      <c r="T33" s="8" t="s">
        <v>36</v>
      </c>
      <c r="U33">
        <v>82000</v>
      </c>
      <c r="V33">
        <v>85031</v>
      </c>
      <c r="W33">
        <v>89313</v>
      </c>
      <c r="X33">
        <v>93663</v>
      </c>
      <c r="Y33">
        <v>350007</v>
      </c>
    </row>
    <row r="34" spans="1:25">
      <c r="A34" s="8" t="s">
        <v>35</v>
      </c>
      <c r="B34">
        <v>21000</v>
      </c>
      <c r="C34">
        <v>21961</v>
      </c>
      <c r="D34">
        <v>23500</v>
      </c>
      <c r="E34">
        <v>23493</v>
      </c>
      <c r="F34">
        <v>89954</v>
      </c>
      <c r="T34" s="8" t="s">
        <v>37</v>
      </c>
      <c r="U34">
        <v>78000</v>
      </c>
      <c r="V34">
        <v>82102</v>
      </c>
      <c r="W34">
        <v>86745</v>
      </c>
      <c r="X34">
        <v>90473</v>
      </c>
      <c r="Y34">
        <v>337320</v>
      </c>
    </row>
    <row r="35" spans="1:25">
      <c r="A35" s="8" t="s">
        <v>36</v>
      </c>
      <c r="B35">
        <v>28000</v>
      </c>
      <c r="C35">
        <v>29035</v>
      </c>
      <c r="D35">
        <v>30497</v>
      </c>
      <c r="E35">
        <v>31983</v>
      </c>
      <c r="F35">
        <v>119515</v>
      </c>
      <c r="T35" s="8" t="s">
        <v>38</v>
      </c>
      <c r="U35">
        <v>83000</v>
      </c>
      <c r="V35">
        <v>87547</v>
      </c>
      <c r="W35">
        <v>92199</v>
      </c>
      <c r="X35">
        <v>95598</v>
      </c>
      <c r="Y35">
        <v>358344</v>
      </c>
    </row>
    <row r="36" spans="1:25">
      <c r="A36" s="8" t="s">
        <v>37</v>
      </c>
      <c r="B36">
        <v>42000</v>
      </c>
      <c r="C36">
        <v>44209</v>
      </c>
      <c r="D36">
        <v>46709</v>
      </c>
      <c r="E36">
        <v>48716</v>
      </c>
      <c r="F36">
        <v>181634</v>
      </c>
      <c r="T36" s="8" t="s">
        <v>5</v>
      </c>
      <c r="U36">
        <v>3066000</v>
      </c>
      <c r="V36">
        <v>3197167</v>
      </c>
      <c r="W36">
        <v>3364013</v>
      </c>
      <c r="X36">
        <v>3449807</v>
      </c>
      <c r="Y36">
        <v>13076987</v>
      </c>
    </row>
    <row r="37" spans="1:25">
      <c r="A37" s="8" t="s">
        <v>38</v>
      </c>
      <c r="B37">
        <v>54000</v>
      </c>
      <c r="C37">
        <v>56958</v>
      </c>
      <c r="D37">
        <v>59985</v>
      </c>
      <c r="E37">
        <v>62196</v>
      </c>
      <c r="F37">
        <v>233139</v>
      </c>
    </row>
    <row r="38" spans="1:25">
      <c r="A38" s="8" t="s">
        <v>5</v>
      </c>
      <c r="B38">
        <v>1897000</v>
      </c>
      <c r="C38">
        <v>1978488</v>
      </c>
      <c r="D38">
        <v>2085968</v>
      </c>
      <c r="E38">
        <v>2137338</v>
      </c>
      <c r="F38">
        <v>8098794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A2BF6-05AD-4C98-BC54-8489C9BDBA24}">
  <dimension ref="A1:F74"/>
  <sheetViews>
    <sheetView tabSelected="1" topLeftCell="C33" zoomScale="61" workbookViewId="0">
      <selection activeCell="F40" activeCellId="1" sqref="A40:A73 F40:F73"/>
    </sheetView>
  </sheetViews>
  <sheetFormatPr defaultRowHeight="14.45"/>
  <cols>
    <col min="1" max="1" width="40.42578125" bestFit="1" customWidth="1"/>
    <col min="2" max="2" width="21.7109375" bestFit="1" customWidth="1"/>
    <col min="3" max="6" width="15.5703125" bestFit="1" customWidth="1"/>
    <col min="7" max="7" width="29.28515625" bestFit="1" customWidth="1"/>
    <col min="8" max="8" width="29" bestFit="1" customWidth="1"/>
    <col min="9" max="9" width="29.28515625" bestFit="1" customWidth="1"/>
    <col min="10" max="10" width="33.7109375" bestFit="1" customWidth="1"/>
    <col min="11" max="11" width="33.85546875" bestFit="1" customWidth="1"/>
  </cols>
  <sheetData>
    <row r="1" spans="1:6">
      <c r="A1" s="7" t="s">
        <v>43</v>
      </c>
      <c r="B1" s="7" t="s">
        <v>3</v>
      </c>
    </row>
    <row r="2" spans="1:6">
      <c r="A2" s="7" t="s">
        <v>4</v>
      </c>
      <c r="B2">
        <v>2023</v>
      </c>
      <c r="C2">
        <v>2024</v>
      </c>
      <c r="D2">
        <v>2025</v>
      </c>
      <c r="E2">
        <v>2026</v>
      </c>
      <c r="F2" t="s">
        <v>5</v>
      </c>
    </row>
    <row r="3" spans="1:6">
      <c r="A3" s="8" t="s">
        <v>6</v>
      </c>
      <c r="B3" s="11">
        <v>110.26</v>
      </c>
      <c r="C3" s="11">
        <v>108.01</v>
      </c>
      <c r="D3" s="11">
        <v>109.1</v>
      </c>
      <c r="E3" s="11">
        <v>116.87</v>
      </c>
      <c r="F3" s="11">
        <v>111.06</v>
      </c>
    </row>
    <row r="4" spans="1:6">
      <c r="A4" s="8" t="s">
        <v>7</v>
      </c>
      <c r="B4" s="11">
        <v>110.21</v>
      </c>
      <c r="C4" s="11">
        <v>107.96</v>
      </c>
      <c r="D4" s="11">
        <v>109.05</v>
      </c>
      <c r="E4" s="11">
        <v>116.82</v>
      </c>
      <c r="F4" s="11">
        <v>111.00999999999999</v>
      </c>
    </row>
    <row r="5" spans="1:6">
      <c r="A5" s="8" t="s">
        <v>8</v>
      </c>
      <c r="B5" s="11">
        <v>109.76</v>
      </c>
      <c r="C5" s="11">
        <v>107.51</v>
      </c>
      <c r="D5" s="11">
        <v>108.6</v>
      </c>
      <c r="E5" s="11">
        <v>116.37</v>
      </c>
      <c r="F5" s="11">
        <v>110.56</v>
      </c>
    </row>
    <row r="6" spans="1:6">
      <c r="A6" s="8" t="s">
        <v>9</v>
      </c>
      <c r="B6" s="11">
        <v>108.86</v>
      </c>
      <c r="C6" s="11">
        <v>106.61</v>
      </c>
      <c r="D6" s="11">
        <v>107.7</v>
      </c>
      <c r="E6" s="11">
        <v>115.47</v>
      </c>
      <c r="F6" s="11">
        <v>109.66</v>
      </c>
    </row>
    <row r="7" spans="1:6">
      <c r="A7" s="8" t="s">
        <v>10</v>
      </c>
      <c r="B7" s="11">
        <v>109.66</v>
      </c>
      <c r="C7" s="11">
        <v>107.41</v>
      </c>
      <c r="D7" s="11">
        <v>108.5</v>
      </c>
      <c r="E7" s="11">
        <v>116.27</v>
      </c>
      <c r="F7" s="11">
        <v>110.46</v>
      </c>
    </row>
    <row r="8" spans="1:6">
      <c r="A8" s="8" t="s">
        <v>11</v>
      </c>
      <c r="B8" s="11">
        <v>109.66</v>
      </c>
      <c r="C8" s="11">
        <v>107.41</v>
      </c>
      <c r="D8" s="11">
        <v>108.5</v>
      </c>
      <c r="E8" s="11">
        <v>116.27</v>
      </c>
      <c r="F8" s="11">
        <v>110.46</v>
      </c>
    </row>
    <row r="9" spans="1:6">
      <c r="A9" s="8" t="s">
        <v>12</v>
      </c>
      <c r="B9" s="11">
        <v>109.66</v>
      </c>
      <c r="C9" s="11">
        <v>107.41</v>
      </c>
      <c r="D9" s="11">
        <v>108.5</v>
      </c>
      <c r="E9" s="11">
        <v>116.27</v>
      </c>
      <c r="F9" s="11">
        <v>110.46</v>
      </c>
    </row>
    <row r="10" spans="1:6">
      <c r="A10" s="8" t="s">
        <v>13</v>
      </c>
      <c r="B10" s="11">
        <v>109.66</v>
      </c>
      <c r="C10" s="11">
        <v>107.41</v>
      </c>
      <c r="D10" s="11">
        <v>108.5</v>
      </c>
      <c r="E10" s="11">
        <v>116.27</v>
      </c>
      <c r="F10" s="11">
        <v>110.46</v>
      </c>
    </row>
    <row r="11" spans="1:6">
      <c r="A11" s="8" t="s">
        <v>14</v>
      </c>
      <c r="B11" s="11">
        <v>109.66</v>
      </c>
      <c r="C11" s="11">
        <v>107.41</v>
      </c>
      <c r="D11" s="11">
        <v>108.5</v>
      </c>
      <c r="E11" s="11">
        <v>116.27</v>
      </c>
      <c r="F11" s="11">
        <v>110.46</v>
      </c>
    </row>
    <row r="12" spans="1:6">
      <c r="A12" s="8" t="s">
        <v>15</v>
      </c>
      <c r="B12" s="11">
        <v>109.66</v>
      </c>
      <c r="C12" s="11">
        <v>107.41</v>
      </c>
      <c r="D12" s="11">
        <v>108.5</v>
      </c>
      <c r="E12" s="11">
        <v>116.27</v>
      </c>
      <c r="F12" s="11">
        <v>110.46</v>
      </c>
    </row>
    <row r="13" spans="1:6">
      <c r="A13" s="8" t="s">
        <v>16</v>
      </c>
      <c r="B13" s="11">
        <v>109.96</v>
      </c>
      <c r="C13" s="11">
        <v>107.71</v>
      </c>
      <c r="D13" s="11">
        <v>108.8</v>
      </c>
      <c r="E13" s="11">
        <v>116.57</v>
      </c>
      <c r="F13" s="11">
        <v>110.75999999999999</v>
      </c>
    </row>
    <row r="14" spans="1:6">
      <c r="A14" s="8" t="s">
        <v>17</v>
      </c>
      <c r="B14" s="11">
        <v>110.41</v>
      </c>
      <c r="C14" s="11">
        <v>108.16</v>
      </c>
      <c r="D14" s="11">
        <v>109.25</v>
      </c>
      <c r="E14" s="11">
        <v>117.02</v>
      </c>
      <c r="F14" s="11">
        <v>111.21</v>
      </c>
    </row>
    <row r="15" spans="1:6">
      <c r="A15" s="8" t="s">
        <v>18</v>
      </c>
      <c r="B15" s="11">
        <v>109.66</v>
      </c>
      <c r="C15" s="11">
        <v>107.41</v>
      </c>
      <c r="D15" s="11">
        <v>108.5</v>
      </c>
      <c r="E15" s="11">
        <v>116.27</v>
      </c>
      <c r="F15" s="11">
        <v>110.46</v>
      </c>
    </row>
    <row r="16" spans="1:6">
      <c r="A16" s="8" t="s">
        <v>19</v>
      </c>
      <c r="B16" s="11">
        <v>110.5</v>
      </c>
      <c r="C16" s="11">
        <v>108.25</v>
      </c>
      <c r="D16" s="11">
        <v>109.34</v>
      </c>
      <c r="E16" s="11">
        <v>117.11</v>
      </c>
      <c r="F16" s="11">
        <v>111.30000000000001</v>
      </c>
    </row>
    <row r="17" spans="1:6">
      <c r="A17" s="8" t="s">
        <v>20</v>
      </c>
      <c r="B17" s="11">
        <v>109.66</v>
      </c>
      <c r="C17" s="11">
        <v>107.41</v>
      </c>
      <c r="D17" s="11">
        <v>108.5</v>
      </c>
      <c r="E17" s="11">
        <v>116.27</v>
      </c>
      <c r="F17" s="11">
        <v>110.46</v>
      </c>
    </row>
    <row r="18" spans="1:6">
      <c r="A18" s="8" t="s">
        <v>21</v>
      </c>
      <c r="B18" s="11">
        <v>109.66</v>
      </c>
      <c r="C18" s="11">
        <v>107.41</v>
      </c>
      <c r="D18" s="11">
        <v>108.5</v>
      </c>
      <c r="E18" s="11">
        <v>116.27</v>
      </c>
      <c r="F18" s="11">
        <v>110.46</v>
      </c>
    </row>
    <row r="19" spans="1:6">
      <c r="A19" s="8" t="s">
        <v>22</v>
      </c>
      <c r="B19" s="11">
        <v>108.91</v>
      </c>
      <c r="C19" s="11">
        <v>106.66</v>
      </c>
      <c r="D19" s="11">
        <v>107.75</v>
      </c>
      <c r="E19" s="11">
        <v>115.52</v>
      </c>
      <c r="F19" s="11">
        <v>109.71</v>
      </c>
    </row>
    <row r="20" spans="1:6">
      <c r="A20" s="8" t="s">
        <v>23</v>
      </c>
      <c r="B20" s="11">
        <v>109.66</v>
      </c>
      <c r="C20" s="11">
        <v>107.41</v>
      </c>
      <c r="D20" s="11">
        <v>108.5</v>
      </c>
      <c r="E20" s="11">
        <v>116.27</v>
      </c>
      <c r="F20" s="11">
        <v>110.46</v>
      </c>
    </row>
    <row r="21" spans="1:6">
      <c r="A21" s="8" t="s">
        <v>24</v>
      </c>
      <c r="B21" s="11">
        <v>109.66</v>
      </c>
      <c r="C21" s="11">
        <v>107.41</v>
      </c>
      <c r="D21" s="11">
        <v>108.5</v>
      </c>
      <c r="E21" s="11">
        <v>116.27</v>
      </c>
      <c r="F21" s="11">
        <v>110.46</v>
      </c>
    </row>
    <row r="22" spans="1:6">
      <c r="A22" s="8" t="s">
        <v>25</v>
      </c>
      <c r="B22" s="11">
        <v>109.66</v>
      </c>
      <c r="C22" s="11">
        <v>107.41</v>
      </c>
      <c r="D22" s="11">
        <v>108.5</v>
      </c>
      <c r="E22" s="11">
        <v>116.27</v>
      </c>
      <c r="F22" s="11">
        <v>110.46</v>
      </c>
    </row>
    <row r="23" spans="1:6">
      <c r="A23" s="8" t="s">
        <v>26</v>
      </c>
      <c r="B23" s="11">
        <v>109.66</v>
      </c>
      <c r="C23" s="11">
        <v>107.41</v>
      </c>
      <c r="D23" s="11">
        <v>108.5</v>
      </c>
      <c r="E23" s="11">
        <v>116.27</v>
      </c>
      <c r="F23" s="11">
        <v>110.46</v>
      </c>
    </row>
    <row r="24" spans="1:6">
      <c r="A24" s="8" t="s">
        <v>27</v>
      </c>
      <c r="B24" s="11">
        <v>109.66</v>
      </c>
      <c r="C24" s="11">
        <v>107.41</v>
      </c>
      <c r="D24" s="11">
        <v>108.5</v>
      </c>
      <c r="E24" s="11">
        <v>116.27</v>
      </c>
      <c r="F24" s="11">
        <v>110.46</v>
      </c>
    </row>
    <row r="25" spans="1:6">
      <c r="A25" s="8" t="s">
        <v>28</v>
      </c>
      <c r="B25" s="11">
        <v>110.06</v>
      </c>
      <c r="C25" s="11">
        <v>107.81</v>
      </c>
      <c r="D25" s="11">
        <v>108.9</v>
      </c>
      <c r="E25" s="11">
        <v>116.67</v>
      </c>
      <c r="F25" s="11">
        <v>110.86</v>
      </c>
    </row>
    <row r="26" spans="1:6">
      <c r="A26" s="8" t="s">
        <v>29</v>
      </c>
      <c r="B26" s="11">
        <v>109.66</v>
      </c>
      <c r="C26" s="11">
        <v>107.41</v>
      </c>
      <c r="D26" s="11">
        <v>108.5</v>
      </c>
      <c r="E26" s="11">
        <v>116.27</v>
      </c>
      <c r="F26" s="11">
        <v>110.46</v>
      </c>
    </row>
    <row r="27" spans="1:6">
      <c r="A27" s="8" t="s">
        <v>30</v>
      </c>
      <c r="B27" s="11">
        <v>109.66</v>
      </c>
      <c r="C27" s="11">
        <v>107.41</v>
      </c>
      <c r="D27" s="11">
        <v>108.5</v>
      </c>
      <c r="E27" s="11">
        <v>116.27</v>
      </c>
      <c r="F27" s="11">
        <v>110.46</v>
      </c>
    </row>
    <row r="28" spans="1:6">
      <c r="A28" s="8" t="s">
        <v>31</v>
      </c>
      <c r="B28" s="11">
        <v>108.96</v>
      </c>
      <c r="C28" s="11">
        <v>106.71</v>
      </c>
      <c r="D28" s="11">
        <v>107.8</v>
      </c>
      <c r="E28" s="11">
        <v>115.57</v>
      </c>
      <c r="F28" s="11">
        <v>109.75999999999999</v>
      </c>
    </row>
    <row r="29" spans="1:6">
      <c r="A29" s="8" t="s">
        <v>32</v>
      </c>
      <c r="B29" s="11">
        <v>108.52</v>
      </c>
      <c r="C29" s="11">
        <v>106.27</v>
      </c>
      <c r="D29" s="11">
        <v>107.36</v>
      </c>
      <c r="E29" s="11">
        <v>115.13</v>
      </c>
      <c r="F29" s="11">
        <v>109.32</v>
      </c>
    </row>
    <row r="30" spans="1:6">
      <c r="A30" s="8" t="s">
        <v>33</v>
      </c>
      <c r="B30" s="11">
        <v>109.66</v>
      </c>
      <c r="C30" s="11">
        <v>107.41</v>
      </c>
      <c r="D30" s="11">
        <v>108.5</v>
      </c>
      <c r="E30" s="11">
        <v>116.27</v>
      </c>
      <c r="F30" s="11">
        <v>110.46</v>
      </c>
    </row>
    <row r="31" spans="1:6">
      <c r="A31" s="8" t="s">
        <v>34</v>
      </c>
      <c r="B31" s="11">
        <v>109.66</v>
      </c>
      <c r="C31" s="11">
        <v>107.41</v>
      </c>
      <c r="D31" s="11">
        <v>108.5</v>
      </c>
      <c r="E31" s="11">
        <v>116.27</v>
      </c>
      <c r="F31" s="11">
        <v>110.46</v>
      </c>
    </row>
    <row r="32" spans="1:6">
      <c r="A32" s="8" t="s">
        <v>35</v>
      </c>
      <c r="B32" s="11">
        <v>109.66</v>
      </c>
      <c r="C32" s="11">
        <v>107.41</v>
      </c>
      <c r="D32" s="11">
        <v>108.5</v>
      </c>
      <c r="E32" s="11">
        <v>116.27</v>
      </c>
      <c r="F32" s="11">
        <v>110.46</v>
      </c>
    </row>
    <row r="33" spans="1:6">
      <c r="A33" s="8" t="s">
        <v>36</v>
      </c>
      <c r="B33" s="11">
        <v>109.66</v>
      </c>
      <c r="C33" s="11">
        <v>107.41</v>
      </c>
      <c r="D33" s="11">
        <v>108.5</v>
      </c>
      <c r="E33" s="11">
        <v>116.27</v>
      </c>
      <c r="F33" s="11">
        <v>110.46</v>
      </c>
    </row>
    <row r="34" spans="1:6">
      <c r="A34" s="8" t="s">
        <v>37</v>
      </c>
      <c r="B34" s="11">
        <v>109.76</v>
      </c>
      <c r="C34" s="11">
        <v>107.51</v>
      </c>
      <c r="D34" s="11">
        <v>108.6</v>
      </c>
      <c r="E34" s="11">
        <v>116.37</v>
      </c>
      <c r="F34" s="11">
        <v>110.56</v>
      </c>
    </row>
    <row r="35" spans="1:6">
      <c r="A35" s="8" t="s">
        <v>38</v>
      </c>
      <c r="B35" s="11">
        <v>109.66</v>
      </c>
      <c r="C35" s="11">
        <v>107.41</v>
      </c>
      <c r="D35" s="11">
        <v>108.5</v>
      </c>
      <c r="E35" s="11">
        <v>116.27</v>
      </c>
      <c r="F35" s="11">
        <v>110.46</v>
      </c>
    </row>
    <row r="36" spans="1:6">
      <c r="A36" s="8" t="s">
        <v>5</v>
      </c>
      <c r="B36" s="11">
        <v>109.66757575757573</v>
      </c>
      <c r="C36" s="11">
        <v>107.41757575757573</v>
      </c>
      <c r="D36" s="11">
        <v>108.50757575757576</v>
      </c>
      <c r="E36" s="11">
        <v>116.27757575757575</v>
      </c>
      <c r="F36" s="11">
        <v>110.46757575757579</v>
      </c>
    </row>
    <row r="39" spans="1:6">
      <c r="A39" s="7" t="s">
        <v>44</v>
      </c>
      <c r="B39" s="7" t="s">
        <v>3</v>
      </c>
    </row>
    <row r="40" spans="1:6">
      <c r="A40" s="7" t="s">
        <v>4</v>
      </c>
      <c r="B40">
        <v>2023</v>
      </c>
      <c r="C40">
        <v>2024</v>
      </c>
      <c r="D40">
        <v>2025</v>
      </c>
      <c r="E40">
        <v>2026</v>
      </c>
      <c r="F40" t="s">
        <v>5</v>
      </c>
    </row>
    <row r="41" spans="1:6">
      <c r="A41" s="8" t="s">
        <v>6</v>
      </c>
      <c r="B41" s="11">
        <v>98.42</v>
      </c>
      <c r="C41" s="11">
        <v>96.25</v>
      </c>
      <c r="D41" s="11">
        <v>97.15</v>
      </c>
      <c r="E41" s="11">
        <v>104.98</v>
      </c>
      <c r="F41" s="11">
        <v>99.200000000000017</v>
      </c>
    </row>
    <row r="42" spans="1:6">
      <c r="A42" s="8" t="s">
        <v>7</v>
      </c>
      <c r="B42" s="11">
        <v>98.37</v>
      </c>
      <c r="C42" s="11">
        <v>96.2</v>
      </c>
      <c r="D42" s="11">
        <v>97.1</v>
      </c>
      <c r="E42" s="11">
        <v>104.93</v>
      </c>
      <c r="F42" s="11">
        <v>99.149999999999991</v>
      </c>
    </row>
    <row r="43" spans="1:6">
      <c r="A43" s="8" t="s">
        <v>8</v>
      </c>
      <c r="B43" s="11">
        <v>97.92</v>
      </c>
      <c r="C43" s="11">
        <v>95.75</v>
      </c>
      <c r="D43" s="11">
        <v>96.65</v>
      </c>
      <c r="E43" s="11">
        <v>104.48</v>
      </c>
      <c r="F43" s="11">
        <v>98.700000000000017</v>
      </c>
    </row>
    <row r="44" spans="1:6">
      <c r="A44" s="8" t="s">
        <v>9</v>
      </c>
      <c r="B44" s="11">
        <v>97.02</v>
      </c>
      <c r="C44" s="11">
        <v>94.85</v>
      </c>
      <c r="D44" s="11">
        <v>95.75</v>
      </c>
      <c r="E44" s="11">
        <v>103.58</v>
      </c>
      <c r="F44" s="11">
        <v>97.8</v>
      </c>
    </row>
    <row r="45" spans="1:6">
      <c r="A45" s="8" t="s">
        <v>10</v>
      </c>
      <c r="B45" s="11">
        <v>97.82</v>
      </c>
      <c r="C45" s="11">
        <v>95.65</v>
      </c>
      <c r="D45" s="11">
        <v>96.55</v>
      </c>
      <c r="E45" s="11">
        <v>104.38</v>
      </c>
      <c r="F45" s="11">
        <v>98.6</v>
      </c>
    </row>
    <row r="46" spans="1:6">
      <c r="A46" s="8" t="s">
        <v>11</v>
      </c>
      <c r="B46" s="11">
        <v>97.82</v>
      </c>
      <c r="C46" s="11">
        <v>95.65</v>
      </c>
      <c r="D46" s="11">
        <v>96.55</v>
      </c>
      <c r="E46" s="11">
        <v>104.38</v>
      </c>
      <c r="F46" s="11">
        <v>98.6</v>
      </c>
    </row>
    <row r="47" spans="1:6">
      <c r="A47" s="8" t="s">
        <v>12</v>
      </c>
      <c r="B47" s="11">
        <v>97.82</v>
      </c>
      <c r="C47" s="11">
        <v>95.65</v>
      </c>
      <c r="D47" s="11">
        <v>96.55</v>
      </c>
      <c r="E47" s="11">
        <v>104.38</v>
      </c>
      <c r="F47" s="11">
        <v>98.6</v>
      </c>
    </row>
    <row r="48" spans="1:6">
      <c r="A48" s="8" t="s">
        <v>13</v>
      </c>
      <c r="B48" s="11">
        <v>97.82</v>
      </c>
      <c r="C48" s="11">
        <v>95.65</v>
      </c>
      <c r="D48" s="11">
        <v>96.55</v>
      </c>
      <c r="E48" s="11">
        <v>104.38</v>
      </c>
      <c r="F48" s="11">
        <v>98.6</v>
      </c>
    </row>
    <row r="49" spans="1:6">
      <c r="A49" s="8" t="s">
        <v>14</v>
      </c>
      <c r="B49" s="11">
        <v>97.82</v>
      </c>
      <c r="C49" s="11">
        <v>95.65</v>
      </c>
      <c r="D49" s="11">
        <v>96.55</v>
      </c>
      <c r="E49" s="11">
        <v>104.38</v>
      </c>
      <c r="F49" s="11">
        <v>98.6</v>
      </c>
    </row>
    <row r="50" spans="1:6">
      <c r="A50" s="8" t="s">
        <v>15</v>
      </c>
      <c r="B50" s="11">
        <v>97.82</v>
      </c>
      <c r="C50" s="11">
        <v>95.65</v>
      </c>
      <c r="D50" s="11">
        <v>96.55</v>
      </c>
      <c r="E50" s="11">
        <v>104.38</v>
      </c>
      <c r="F50" s="11">
        <v>98.6</v>
      </c>
    </row>
    <row r="51" spans="1:6">
      <c r="A51" s="8" t="s">
        <v>16</v>
      </c>
      <c r="B51" s="11">
        <v>98.12</v>
      </c>
      <c r="C51" s="11">
        <v>95.95</v>
      </c>
      <c r="D51" s="11">
        <v>96.85</v>
      </c>
      <c r="E51" s="11">
        <v>104.68</v>
      </c>
      <c r="F51" s="11">
        <v>98.899999999999991</v>
      </c>
    </row>
    <row r="52" spans="1:6">
      <c r="A52" s="8" t="s">
        <v>17</v>
      </c>
      <c r="B52" s="11">
        <v>98.57</v>
      </c>
      <c r="C52" s="11">
        <v>96.4</v>
      </c>
      <c r="D52" s="11">
        <v>97.3</v>
      </c>
      <c r="E52" s="11">
        <v>105.13</v>
      </c>
      <c r="F52" s="11">
        <v>99.35</v>
      </c>
    </row>
    <row r="53" spans="1:6">
      <c r="A53" s="8" t="s">
        <v>18</v>
      </c>
      <c r="B53" s="11">
        <v>97.82</v>
      </c>
      <c r="C53" s="11">
        <v>95.65</v>
      </c>
      <c r="D53" s="11">
        <v>96.55</v>
      </c>
      <c r="E53" s="11">
        <v>104.38</v>
      </c>
      <c r="F53" s="11">
        <v>98.6</v>
      </c>
    </row>
    <row r="54" spans="1:6">
      <c r="A54" s="8" t="s">
        <v>19</v>
      </c>
      <c r="B54" s="11">
        <v>98.66</v>
      </c>
      <c r="C54" s="11">
        <v>96.49</v>
      </c>
      <c r="D54" s="11">
        <v>97.39</v>
      </c>
      <c r="E54" s="11">
        <v>105.22</v>
      </c>
      <c r="F54" s="11">
        <v>99.44</v>
      </c>
    </row>
    <row r="55" spans="1:6">
      <c r="A55" s="8" t="s">
        <v>20</v>
      </c>
      <c r="B55" s="11">
        <v>97.82</v>
      </c>
      <c r="C55" s="11">
        <v>95.65</v>
      </c>
      <c r="D55" s="11">
        <v>96.55</v>
      </c>
      <c r="E55" s="11">
        <v>104.38</v>
      </c>
      <c r="F55" s="11">
        <v>98.6</v>
      </c>
    </row>
    <row r="56" spans="1:6">
      <c r="A56" s="8" t="s">
        <v>21</v>
      </c>
      <c r="B56" s="11">
        <v>97.82</v>
      </c>
      <c r="C56" s="11">
        <v>95.65</v>
      </c>
      <c r="D56" s="11">
        <v>96.55</v>
      </c>
      <c r="E56" s="11">
        <v>104.38</v>
      </c>
      <c r="F56" s="11">
        <v>98.6</v>
      </c>
    </row>
    <row r="57" spans="1:6">
      <c r="A57" s="8" t="s">
        <v>22</v>
      </c>
      <c r="B57" s="11">
        <v>97.07</v>
      </c>
      <c r="C57" s="11">
        <v>94.9</v>
      </c>
      <c r="D57" s="11">
        <v>95.8</v>
      </c>
      <c r="E57" s="11">
        <v>103.63</v>
      </c>
      <c r="F57" s="11">
        <v>97.85</v>
      </c>
    </row>
    <row r="58" spans="1:6">
      <c r="A58" s="8" t="s">
        <v>23</v>
      </c>
      <c r="B58" s="11">
        <v>97.82</v>
      </c>
      <c r="C58" s="11">
        <v>95.65</v>
      </c>
      <c r="D58" s="11">
        <v>96.55</v>
      </c>
      <c r="E58" s="11">
        <v>104.38</v>
      </c>
      <c r="F58" s="11">
        <v>98.6</v>
      </c>
    </row>
    <row r="59" spans="1:6">
      <c r="A59" s="8" t="s">
        <v>24</v>
      </c>
      <c r="B59" s="11">
        <v>97.82</v>
      </c>
      <c r="C59" s="11">
        <v>95.65</v>
      </c>
      <c r="D59" s="11">
        <v>96.55</v>
      </c>
      <c r="E59" s="11">
        <v>104.38</v>
      </c>
      <c r="F59" s="11">
        <v>98.6</v>
      </c>
    </row>
    <row r="60" spans="1:6">
      <c r="A60" s="8" t="s">
        <v>25</v>
      </c>
      <c r="B60" s="11">
        <v>97.82</v>
      </c>
      <c r="C60" s="11">
        <v>95.65</v>
      </c>
      <c r="D60" s="11">
        <v>96.55</v>
      </c>
      <c r="E60" s="11">
        <v>104.38</v>
      </c>
      <c r="F60" s="11">
        <v>98.6</v>
      </c>
    </row>
    <row r="61" spans="1:6">
      <c r="A61" s="8" t="s">
        <v>26</v>
      </c>
      <c r="B61" s="11">
        <v>97.82</v>
      </c>
      <c r="C61" s="11">
        <v>95.65</v>
      </c>
      <c r="D61" s="11">
        <v>96.55</v>
      </c>
      <c r="E61" s="11">
        <v>104.38</v>
      </c>
      <c r="F61" s="11">
        <v>98.6</v>
      </c>
    </row>
    <row r="62" spans="1:6">
      <c r="A62" s="8" t="s">
        <v>27</v>
      </c>
      <c r="B62" s="11">
        <v>97.82</v>
      </c>
      <c r="C62" s="11">
        <v>95.65</v>
      </c>
      <c r="D62" s="11">
        <v>96.55</v>
      </c>
      <c r="E62" s="11">
        <v>104.38</v>
      </c>
      <c r="F62" s="11">
        <v>98.6</v>
      </c>
    </row>
    <row r="63" spans="1:6">
      <c r="A63" s="8" t="s">
        <v>28</v>
      </c>
      <c r="B63" s="11">
        <v>98.22</v>
      </c>
      <c r="C63" s="11">
        <v>96.05</v>
      </c>
      <c r="D63" s="11">
        <v>96.95</v>
      </c>
      <c r="E63" s="11">
        <v>104.78</v>
      </c>
      <c r="F63" s="11">
        <v>99</v>
      </c>
    </row>
    <row r="64" spans="1:6">
      <c r="A64" s="8" t="s">
        <v>29</v>
      </c>
      <c r="B64" s="11">
        <v>97.82</v>
      </c>
      <c r="C64" s="11">
        <v>95.65</v>
      </c>
      <c r="D64" s="11">
        <v>96.55</v>
      </c>
      <c r="E64" s="11">
        <v>104.38</v>
      </c>
      <c r="F64" s="11">
        <v>98.6</v>
      </c>
    </row>
    <row r="65" spans="1:6">
      <c r="A65" s="8" t="s">
        <v>30</v>
      </c>
      <c r="B65" s="11">
        <v>97.82</v>
      </c>
      <c r="C65" s="11">
        <v>95.65</v>
      </c>
      <c r="D65" s="11">
        <v>96.55</v>
      </c>
      <c r="E65" s="11">
        <v>104.38</v>
      </c>
      <c r="F65" s="11">
        <v>98.6</v>
      </c>
    </row>
    <row r="66" spans="1:6">
      <c r="A66" s="8" t="s">
        <v>31</v>
      </c>
      <c r="B66" s="11">
        <v>97.12</v>
      </c>
      <c r="C66" s="11">
        <v>94.95</v>
      </c>
      <c r="D66" s="11">
        <v>95.85</v>
      </c>
      <c r="E66" s="11">
        <v>103.68</v>
      </c>
      <c r="F66" s="11">
        <v>97.899999999999991</v>
      </c>
    </row>
    <row r="67" spans="1:6">
      <c r="A67" s="8" t="s">
        <v>32</v>
      </c>
      <c r="B67" s="11">
        <v>96.68</v>
      </c>
      <c r="C67" s="11">
        <v>94.51</v>
      </c>
      <c r="D67" s="11">
        <v>95.41</v>
      </c>
      <c r="E67" s="11">
        <v>103.24</v>
      </c>
      <c r="F67" s="11">
        <v>97.460000000000008</v>
      </c>
    </row>
    <row r="68" spans="1:6">
      <c r="A68" s="8" t="s">
        <v>33</v>
      </c>
      <c r="B68" s="11">
        <v>97.82</v>
      </c>
      <c r="C68" s="11">
        <v>95.65</v>
      </c>
      <c r="D68" s="11">
        <v>96.55</v>
      </c>
      <c r="E68" s="11">
        <v>104.38</v>
      </c>
      <c r="F68" s="11">
        <v>98.6</v>
      </c>
    </row>
    <row r="69" spans="1:6">
      <c r="A69" s="8" t="s">
        <v>34</v>
      </c>
      <c r="B69" s="11">
        <v>97.82</v>
      </c>
      <c r="C69" s="11">
        <v>95.65</v>
      </c>
      <c r="D69" s="11">
        <v>96.55</v>
      </c>
      <c r="E69" s="11">
        <v>104.38</v>
      </c>
      <c r="F69" s="11">
        <v>98.6</v>
      </c>
    </row>
    <row r="70" spans="1:6">
      <c r="A70" s="8" t="s">
        <v>35</v>
      </c>
      <c r="B70" s="11">
        <v>97.82</v>
      </c>
      <c r="C70" s="11">
        <v>95.65</v>
      </c>
      <c r="D70" s="11">
        <v>96.55</v>
      </c>
      <c r="E70" s="11">
        <v>104.38</v>
      </c>
      <c r="F70" s="11">
        <v>98.6</v>
      </c>
    </row>
    <row r="71" spans="1:6">
      <c r="A71" s="8" t="s">
        <v>36</v>
      </c>
      <c r="B71" s="11">
        <v>97.82</v>
      </c>
      <c r="C71" s="11">
        <v>95.65</v>
      </c>
      <c r="D71" s="11">
        <v>96.55</v>
      </c>
      <c r="E71" s="11">
        <v>104.38</v>
      </c>
      <c r="F71" s="11">
        <v>98.6</v>
      </c>
    </row>
    <row r="72" spans="1:6">
      <c r="A72" s="8" t="s">
        <v>37</v>
      </c>
      <c r="B72" s="11">
        <v>97.92</v>
      </c>
      <c r="C72" s="11">
        <v>95.75</v>
      </c>
      <c r="D72" s="11">
        <v>96.65</v>
      </c>
      <c r="E72" s="11">
        <v>104.48</v>
      </c>
      <c r="F72" s="11">
        <v>98.700000000000017</v>
      </c>
    </row>
    <row r="73" spans="1:6">
      <c r="A73" s="8" t="s">
        <v>38</v>
      </c>
      <c r="B73" s="11">
        <v>97.82</v>
      </c>
      <c r="C73" s="11">
        <v>95.65</v>
      </c>
      <c r="D73" s="11">
        <v>96.55</v>
      </c>
      <c r="E73" s="11">
        <v>104.38</v>
      </c>
      <c r="F73" s="11">
        <v>98.6</v>
      </c>
    </row>
    <row r="74" spans="1:6">
      <c r="A74" s="8" t="s">
        <v>5</v>
      </c>
      <c r="B74" s="11">
        <v>97.827575757575772</v>
      </c>
      <c r="C74" s="11">
        <v>95.657575757575813</v>
      </c>
      <c r="D74" s="11">
        <v>96.557575757575776</v>
      </c>
      <c r="E74" s="11">
        <v>104.3875757575758</v>
      </c>
      <c r="F74" s="11">
        <v>98.607575757575717</v>
      </c>
    </row>
  </sheetData>
  <pageMargins left="0.7" right="0.7" top="0.75" bottom="0.75" header="0.3" footer="0.3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71A9A-F28D-41D5-B4BD-7D518CE0EE46}">
  <dimension ref="A1:R133"/>
  <sheetViews>
    <sheetView zoomScale="88" zoomScaleNormal="87" workbookViewId="0">
      <selection activeCell="C6" sqref="C6"/>
    </sheetView>
  </sheetViews>
  <sheetFormatPr defaultRowHeight="14.45"/>
  <sheetData>
    <row r="1" spans="1:18">
      <c r="A1" s="3" t="s">
        <v>46</v>
      </c>
      <c r="B1" s="1"/>
      <c r="C1" s="4"/>
      <c r="D1" s="1" t="s">
        <v>0</v>
      </c>
      <c r="E1" s="1"/>
      <c r="F1" s="1" t="s">
        <v>47</v>
      </c>
      <c r="G1" s="1"/>
      <c r="H1" s="1"/>
      <c r="I1" s="3" t="s">
        <v>48</v>
      </c>
      <c r="J1" s="1"/>
      <c r="K1" s="1"/>
      <c r="L1" s="1" t="s">
        <v>49</v>
      </c>
      <c r="M1" s="1"/>
      <c r="N1" s="1"/>
      <c r="O1" s="1" t="s">
        <v>50</v>
      </c>
      <c r="P1" s="1"/>
      <c r="Q1" s="1"/>
      <c r="R1" s="6" t="s">
        <v>1</v>
      </c>
    </row>
    <row r="2" spans="1:18">
      <c r="A2" s="2" t="s">
        <v>6</v>
      </c>
      <c r="B2" s="2"/>
      <c r="C2" s="2"/>
      <c r="D2" s="2">
        <v>2023</v>
      </c>
      <c r="E2" s="2"/>
      <c r="F2" s="2">
        <v>110.26</v>
      </c>
      <c r="G2" s="2"/>
      <c r="H2" s="2"/>
      <c r="I2" s="2">
        <v>98.42</v>
      </c>
      <c r="J2" s="2"/>
      <c r="K2" s="2"/>
      <c r="L2" s="2">
        <v>40000</v>
      </c>
      <c r="M2" s="2"/>
      <c r="N2" s="2"/>
      <c r="O2" s="2">
        <v>64000</v>
      </c>
      <c r="P2" s="2"/>
      <c r="Q2" s="2"/>
      <c r="R2">
        <f>L2+O2</f>
        <v>104000</v>
      </c>
    </row>
    <row r="3" spans="1:18">
      <c r="A3" s="2" t="s">
        <v>6</v>
      </c>
      <c r="B3" s="2"/>
      <c r="C3" s="5"/>
      <c r="D3" s="2">
        <v>2024</v>
      </c>
      <c r="E3" s="2"/>
      <c r="F3" s="2">
        <v>108.01</v>
      </c>
      <c r="G3" s="2"/>
      <c r="H3" s="2"/>
      <c r="I3" s="2">
        <v>96.25</v>
      </c>
      <c r="J3" s="2"/>
      <c r="K3" s="2"/>
      <c r="L3" s="2">
        <v>41539</v>
      </c>
      <c r="M3" s="2"/>
      <c r="N3" s="2"/>
      <c r="O3" s="2">
        <v>66463</v>
      </c>
      <c r="P3" s="2"/>
      <c r="Q3" s="2"/>
      <c r="R3">
        <f t="shared" ref="R3:R66" si="0">L3+O3</f>
        <v>108002</v>
      </c>
    </row>
    <row r="4" spans="1:18">
      <c r="A4" s="2" t="s">
        <v>6</v>
      </c>
      <c r="B4" s="2"/>
      <c r="C4" s="2"/>
      <c r="D4" s="2">
        <v>2025</v>
      </c>
      <c r="E4" s="2"/>
      <c r="F4" s="2">
        <v>109.1</v>
      </c>
      <c r="G4" s="2"/>
      <c r="H4" s="2"/>
      <c r="I4" s="2">
        <v>97.15</v>
      </c>
      <c r="J4" s="2"/>
      <c r="K4" s="2"/>
      <c r="L4" s="2">
        <v>44309</v>
      </c>
      <c r="M4" s="2"/>
      <c r="N4" s="2"/>
      <c r="O4" s="2">
        <v>70894</v>
      </c>
      <c r="P4" s="2"/>
      <c r="Q4" s="2"/>
      <c r="R4">
        <f t="shared" si="0"/>
        <v>115203</v>
      </c>
    </row>
    <row r="5" spans="1:18">
      <c r="A5" s="2" t="s">
        <v>6</v>
      </c>
      <c r="B5" s="2"/>
      <c r="C5" s="2"/>
      <c r="D5" s="2">
        <v>2026</v>
      </c>
      <c r="E5" s="2"/>
      <c r="F5" s="2">
        <v>116.87</v>
      </c>
      <c r="G5" s="2"/>
      <c r="H5" s="2"/>
      <c r="I5" s="2">
        <v>104.98</v>
      </c>
      <c r="J5" s="2"/>
      <c r="K5" s="2"/>
      <c r="L5" s="2">
        <v>45838</v>
      </c>
      <c r="M5" s="2"/>
      <c r="N5" s="2"/>
      <c r="O5" s="2">
        <v>73341</v>
      </c>
      <c r="P5" s="2"/>
      <c r="Q5" s="2"/>
      <c r="R5">
        <f t="shared" si="0"/>
        <v>119179</v>
      </c>
    </row>
    <row r="6" spans="1:18">
      <c r="A6" s="2" t="s">
        <v>7</v>
      </c>
      <c r="B6" s="2"/>
      <c r="C6" s="2"/>
      <c r="D6" s="2">
        <v>2023</v>
      </c>
      <c r="E6" s="2"/>
      <c r="F6" s="2">
        <v>110.21</v>
      </c>
      <c r="G6" s="2"/>
      <c r="H6" s="2"/>
      <c r="I6" s="2">
        <v>98.37</v>
      </c>
      <c r="J6" s="2"/>
      <c r="K6" s="2"/>
      <c r="L6" s="2">
        <v>21000</v>
      </c>
      <c r="M6" s="2"/>
      <c r="N6" s="2"/>
      <c r="O6" s="2">
        <v>71000</v>
      </c>
      <c r="P6" s="2"/>
      <c r="Q6" s="2"/>
      <c r="R6">
        <f t="shared" si="0"/>
        <v>92000</v>
      </c>
    </row>
    <row r="7" spans="1:18">
      <c r="A7" s="2" t="s">
        <v>7</v>
      </c>
      <c r="B7" s="2"/>
      <c r="C7" s="2"/>
      <c r="D7" s="2">
        <v>2024</v>
      </c>
      <c r="E7" s="2"/>
      <c r="F7" s="2">
        <v>107.96</v>
      </c>
      <c r="G7" s="2"/>
      <c r="H7" s="2"/>
      <c r="I7" s="2">
        <v>96.2</v>
      </c>
      <c r="J7" s="2"/>
      <c r="K7" s="2"/>
      <c r="L7" s="2">
        <v>21866</v>
      </c>
      <c r="M7" s="2"/>
      <c r="N7" s="2"/>
      <c r="O7" s="2">
        <v>73929</v>
      </c>
      <c r="P7" s="2"/>
      <c r="Q7" s="2"/>
      <c r="R7">
        <f t="shared" si="0"/>
        <v>95795</v>
      </c>
    </row>
    <row r="8" spans="1:18">
      <c r="A8" s="2" t="s">
        <v>7</v>
      </c>
      <c r="B8" s="2"/>
      <c r="C8" s="2"/>
      <c r="D8" s="2">
        <v>2025</v>
      </c>
      <c r="E8" s="2"/>
      <c r="F8" s="2">
        <v>109.05</v>
      </c>
      <c r="G8" s="2"/>
      <c r="H8" s="2"/>
      <c r="I8" s="2">
        <v>97.1</v>
      </c>
      <c r="J8" s="2"/>
      <c r="K8" s="2"/>
      <c r="L8" s="2">
        <v>22316</v>
      </c>
      <c r="M8" s="2"/>
      <c r="N8" s="2"/>
      <c r="O8" s="2">
        <v>75450</v>
      </c>
      <c r="P8" s="2"/>
      <c r="Q8" s="2"/>
      <c r="R8">
        <f t="shared" si="0"/>
        <v>97766</v>
      </c>
    </row>
    <row r="9" spans="1:18">
      <c r="A9" s="2" t="s">
        <v>7</v>
      </c>
      <c r="B9" s="2"/>
      <c r="C9" s="2"/>
      <c r="D9" s="2">
        <v>2026</v>
      </c>
      <c r="E9" s="2"/>
      <c r="F9" s="2">
        <v>116.82</v>
      </c>
      <c r="G9" s="2"/>
      <c r="H9" s="2"/>
      <c r="I9" s="2">
        <v>104.93</v>
      </c>
      <c r="J9" s="2"/>
      <c r="K9" s="2"/>
      <c r="L9" s="2">
        <v>23930</v>
      </c>
      <c r="M9" s="2"/>
      <c r="N9" s="2"/>
      <c r="O9" s="2">
        <v>80906</v>
      </c>
      <c r="P9" s="2"/>
      <c r="Q9" s="2"/>
      <c r="R9">
        <f t="shared" si="0"/>
        <v>104836</v>
      </c>
    </row>
    <row r="10" spans="1:18">
      <c r="A10" s="2" t="s">
        <v>8</v>
      </c>
      <c r="B10" s="2"/>
      <c r="C10" s="2"/>
      <c r="D10" s="2">
        <v>2023</v>
      </c>
      <c r="E10" s="2"/>
      <c r="F10" s="2">
        <v>109.76</v>
      </c>
      <c r="G10" s="2"/>
      <c r="H10" s="2"/>
      <c r="I10" s="2">
        <v>97.92</v>
      </c>
      <c r="J10" s="2"/>
      <c r="K10" s="2"/>
      <c r="L10" s="2">
        <v>26000</v>
      </c>
      <c r="M10" s="2"/>
      <c r="N10" s="2"/>
      <c r="O10" s="2">
        <v>83000</v>
      </c>
      <c r="P10" s="2"/>
      <c r="Q10" s="2"/>
      <c r="R10">
        <f t="shared" si="0"/>
        <v>109000</v>
      </c>
    </row>
    <row r="11" spans="1:18">
      <c r="A11" s="2" t="s">
        <v>8</v>
      </c>
      <c r="B11" s="2"/>
      <c r="C11" s="2"/>
      <c r="D11" s="2">
        <v>2024</v>
      </c>
      <c r="E11" s="2"/>
      <c r="F11" s="2">
        <v>107.51</v>
      </c>
      <c r="G11" s="2"/>
      <c r="H11" s="2"/>
      <c r="I11" s="2">
        <v>95.75</v>
      </c>
      <c r="J11" s="2"/>
      <c r="K11" s="2"/>
      <c r="L11" s="2">
        <v>26928</v>
      </c>
      <c r="M11" s="2"/>
      <c r="N11" s="2"/>
      <c r="O11" s="2">
        <v>85961</v>
      </c>
      <c r="P11" s="2"/>
      <c r="Q11" s="2"/>
      <c r="R11">
        <f t="shared" si="0"/>
        <v>112889</v>
      </c>
    </row>
    <row r="12" spans="1:18">
      <c r="A12" s="2" t="s">
        <v>8</v>
      </c>
      <c r="B12" s="2"/>
      <c r="C12" s="2"/>
      <c r="D12" s="2">
        <v>2025</v>
      </c>
      <c r="E12" s="2"/>
      <c r="F12" s="2">
        <v>108.6</v>
      </c>
      <c r="G12" s="2"/>
      <c r="H12" s="2"/>
      <c r="I12" s="2">
        <v>96.65</v>
      </c>
      <c r="J12" s="2"/>
      <c r="K12" s="2"/>
      <c r="L12" s="2">
        <v>27843</v>
      </c>
      <c r="M12" s="2"/>
      <c r="N12" s="2"/>
      <c r="O12" s="2">
        <v>88885</v>
      </c>
      <c r="P12" s="2"/>
      <c r="Q12" s="2"/>
      <c r="R12">
        <f t="shared" si="0"/>
        <v>116728</v>
      </c>
    </row>
    <row r="13" spans="1:18">
      <c r="A13" s="2" t="s">
        <v>8</v>
      </c>
      <c r="B13" s="2"/>
      <c r="C13" s="2"/>
      <c r="D13" s="2">
        <v>2026</v>
      </c>
      <c r="E13" s="2"/>
      <c r="F13" s="2">
        <v>116.37</v>
      </c>
      <c r="G13" s="2"/>
      <c r="H13" s="2"/>
      <c r="I13" s="2">
        <v>104.48</v>
      </c>
      <c r="J13" s="2"/>
      <c r="K13" s="2"/>
      <c r="L13" s="2">
        <v>28524</v>
      </c>
      <c r="M13" s="2"/>
      <c r="N13" s="2"/>
      <c r="O13" s="2">
        <v>91058</v>
      </c>
      <c r="P13" s="2"/>
      <c r="Q13" s="2"/>
      <c r="R13">
        <f t="shared" si="0"/>
        <v>119582</v>
      </c>
    </row>
    <row r="14" spans="1:18">
      <c r="A14" s="2" t="s">
        <v>9</v>
      </c>
      <c r="B14" s="2"/>
      <c r="C14" s="2"/>
      <c r="D14" s="2">
        <v>2023</v>
      </c>
      <c r="E14" s="2"/>
      <c r="F14" s="2">
        <v>108.86</v>
      </c>
      <c r="G14" s="2"/>
      <c r="H14" s="2"/>
      <c r="I14" s="2">
        <v>97.02</v>
      </c>
      <c r="J14" s="2"/>
      <c r="K14" s="2"/>
      <c r="L14" s="2">
        <v>220000</v>
      </c>
      <c r="M14" s="2"/>
      <c r="N14" s="2"/>
      <c r="O14" s="2">
        <v>246000</v>
      </c>
      <c r="P14" s="2"/>
      <c r="Q14" s="2"/>
      <c r="R14">
        <f t="shared" si="0"/>
        <v>466000</v>
      </c>
    </row>
    <row r="15" spans="1:18">
      <c r="A15" s="2" t="s">
        <v>9</v>
      </c>
      <c r="B15" s="2"/>
      <c r="C15" s="2"/>
      <c r="D15" s="2">
        <v>2024</v>
      </c>
      <c r="E15" s="2"/>
      <c r="F15" s="2">
        <v>106.61</v>
      </c>
      <c r="G15" s="2"/>
      <c r="H15" s="2"/>
      <c r="I15" s="2">
        <v>94.85</v>
      </c>
      <c r="J15" s="2"/>
      <c r="K15" s="2"/>
      <c r="L15" s="2">
        <v>226766</v>
      </c>
      <c r="M15" s="2"/>
      <c r="N15" s="2"/>
      <c r="O15" s="2">
        <v>253565</v>
      </c>
      <c r="P15" s="2"/>
      <c r="Q15" s="2"/>
      <c r="R15">
        <f t="shared" si="0"/>
        <v>480331</v>
      </c>
    </row>
    <row r="16" spans="1:18">
      <c r="A16" s="2" t="s">
        <v>9</v>
      </c>
      <c r="B16" s="2"/>
      <c r="C16" s="2"/>
      <c r="D16" s="2">
        <v>2025</v>
      </c>
      <c r="E16" s="2"/>
      <c r="F16" s="2">
        <v>107.7</v>
      </c>
      <c r="G16" s="2"/>
      <c r="H16" s="2"/>
      <c r="I16" s="2">
        <v>95.75</v>
      </c>
      <c r="J16" s="2"/>
      <c r="K16" s="2"/>
      <c r="L16" s="2">
        <v>246047</v>
      </c>
      <c r="M16" s="2"/>
      <c r="N16" s="2"/>
      <c r="O16" s="2">
        <v>275126</v>
      </c>
      <c r="P16" s="2"/>
      <c r="Q16" s="2"/>
      <c r="R16">
        <f t="shared" si="0"/>
        <v>521173</v>
      </c>
    </row>
    <row r="17" spans="1:18">
      <c r="A17" s="2" t="s">
        <v>9</v>
      </c>
      <c r="B17" s="2"/>
      <c r="C17" s="2"/>
      <c r="D17" s="2">
        <v>2026</v>
      </c>
      <c r="E17" s="2"/>
      <c r="F17" s="2">
        <v>115.47</v>
      </c>
      <c r="G17" s="2"/>
      <c r="H17" s="2"/>
      <c r="I17" s="2">
        <v>103.58</v>
      </c>
      <c r="J17" s="2"/>
      <c r="K17" s="2"/>
      <c r="L17" s="2">
        <v>248601</v>
      </c>
      <c r="M17" s="2"/>
      <c r="N17" s="2"/>
      <c r="O17" s="2">
        <v>277981</v>
      </c>
      <c r="P17" s="2"/>
      <c r="Q17" s="2"/>
      <c r="R17">
        <f t="shared" si="0"/>
        <v>526582</v>
      </c>
    </row>
    <row r="18" spans="1:18">
      <c r="A18" s="2" t="s">
        <v>10</v>
      </c>
      <c r="B18" s="2"/>
      <c r="C18" s="2"/>
      <c r="D18" s="2">
        <v>2023</v>
      </c>
      <c r="E18" s="2"/>
      <c r="F18" s="2">
        <v>109.66</v>
      </c>
      <c r="G18" s="2"/>
      <c r="H18" s="2"/>
      <c r="I18" s="2">
        <v>97.82</v>
      </c>
      <c r="J18" s="2"/>
      <c r="K18" s="2"/>
      <c r="L18" s="2">
        <v>35000</v>
      </c>
      <c r="M18" s="2"/>
      <c r="N18" s="2"/>
      <c r="O18" s="2">
        <v>69000</v>
      </c>
      <c r="P18" s="2"/>
      <c r="Q18" s="2"/>
      <c r="R18">
        <f t="shared" si="0"/>
        <v>104000</v>
      </c>
    </row>
    <row r="19" spans="1:18">
      <c r="A19" s="2" t="s">
        <v>10</v>
      </c>
      <c r="B19" s="2"/>
      <c r="C19" s="2"/>
      <c r="D19" s="2">
        <v>2024</v>
      </c>
      <c r="E19" s="2"/>
      <c r="F19" s="2">
        <v>107.41</v>
      </c>
      <c r="G19" s="2"/>
      <c r="H19" s="2"/>
      <c r="I19" s="2">
        <v>95.65</v>
      </c>
      <c r="J19" s="2"/>
      <c r="K19" s="2"/>
      <c r="L19" s="2">
        <v>36213</v>
      </c>
      <c r="M19" s="2"/>
      <c r="N19" s="2"/>
      <c r="O19" s="2">
        <v>71392</v>
      </c>
      <c r="P19" s="2"/>
      <c r="Q19" s="2"/>
      <c r="R19">
        <f t="shared" si="0"/>
        <v>107605</v>
      </c>
    </row>
    <row r="20" spans="1:18">
      <c r="A20" s="2" t="s">
        <v>10</v>
      </c>
      <c r="B20" s="2"/>
      <c r="C20" s="2"/>
      <c r="D20" s="2">
        <v>2025</v>
      </c>
      <c r="E20" s="2"/>
      <c r="F20" s="2">
        <v>108.5</v>
      </c>
      <c r="G20" s="2"/>
      <c r="H20" s="2"/>
      <c r="I20" s="2">
        <v>96.55</v>
      </c>
      <c r="J20" s="2"/>
      <c r="K20" s="2"/>
      <c r="L20" s="2">
        <v>39065</v>
      </c>
      <c r="M20" s="2"/>
      <c r="N20" s="2"/>
      <c r="O20" s="2">
        <v>77013</v>
      </c>
      <c r="P20" s="2"/>
      <c r="Q20" s="2"/>
      <c r="R20">
        <f t="shared" si="0"/>
        <v>116078</v>
      </c>
    </row>
    <row r="21" spans="1:18">
      <c r="A21" s="2" t="s">
        <v>10</v>
      </c>
      <c r="B21" s="2"/>
      <c r="C21" s="2"/>
      <c r="D21" s="2">
        <v>2026</v>
      </c>
      <c r="E21" s="2"/>
      <c r="F21" s="2">
        <v>116.27</v>
      </c>
      <c r="G21" s="2"/>
      <c r="H21" s="2"/>
      <c r="I21" s="2">
        <v>104.38</v>
      </c>
      <c r="J21" s="2"/>
      <c r="K21" s="2"/>
      <c r="L21" s="2">
        <v>38695</v>
      </c>
      <c r="M21" s="2"/>
      <c r="N21" s="2"/>
      <c r="O21" s="2">
        <v>76285</v>
      </c>
      <c r="P21" s="2"/>
      <c r="Q21" s="2"/>
      <c r="R21">
        <f t="shared" si="0"/>
        <v>114980</v>
      </c>
    </row>
    <row r="22" spans="1:18">
      <c r="A22" s="2" t="s">
        <v>11</v>
      </c>
      <c r="B22" s="2"/>
      <c r="C22" s="2"/>
      <c r="D22" s="2">
        <v>2023</v>
      </c>
      <c r="E22" s="2"/>
      <c r="F22" s="2">
        <v>109.66</v>
      </c>
      <c r="G22" s="2"/>
      <c r="H22" s="2"/>
      <c r="I22" s="2">
        <v>97.82</v>
      </c>
      <c r="J22" s="2"/>
      <c r="K22" s="2"/>
      <c r="L22" s="2">
        <v>43000</v>
      </c>
      <c r="M22" s="2"/>
      <c r="N22" s="2"/>
      <c r="O22" s="2">
        <v>51000</v>
      </c>
      <c r="P22" s="2"/>
      <c r="Q22" s="2"/>
      <c r="R22">
        <f t="shared" si="0"/>
        <v>94000</v>
      </c>
    </row>
    <row r="23" spans="1:18">
      <c r="A23" s="2" t="s">
        <v>11</v>
      </c>
      <c r="B23" s="2"/>
      <c r="C23" s="2"/>
      <c r="D23" s="2">
        <v>2024</v>
      </c>
      <c r="E23" s="2"/>
      <c r="F23" s="2">
        <v>107.41</v>
      </c>
      <c r="G23" s="2"/>
      <c r="H23" s="2"/>
      <c r="I23" s="2">
        <v>95.65</v>
      </c>
      <c r="J23" s="2"/>
      <c r="K23" s="2"/>
      <c r="L23" s="2">
        <v>45215</v>
      </c>
      <c r="M23" s="2"/>
      <c r="N23" s="2"/>
      <c r="O23" s="2">
        <v>53627</v>
      </c>
      <c r="P23" s="2"/>
      <c r="Q23" s="2"/>
      <c r="R23">
        <f t="shared" si="0"/>
        <v>98842</v>
      </c>
    </row>
    <row r="24" spans="1:18">
      <c r="A24" s="2" t="s">
        <v>11</v>
      </c>
      <c r="B24" s="2"/>
      <c r="C24" s="2"/>
      <c r="D24" s="2">
        <v>2025</v>
      </c>
      <c r="E24" s="2"/>
      <c r="F24" s="2">
        <v>108.5</v>
      </c>
      <c r="G24" s="2"/>
      <c r="H24" s="2"/>
      <c r="I24" s="2">
        <v>96.55</v>
      </c>
      <c r="J24" s="2"/>
      <c r="K24" s="2"/>
      <c r="L24" s="2">
        <v>45664</v>
      </c>
      <c r="M24" s="2"/>
      <c r="N24" s="2"/>
      <c r="O24" s="2">
        <v>54160</v>
      </c>
      <c r="P24" s="2"/>
      <c r="Q24" s="2"/>
      <c r="R24">
        <f t="shared" si="0"/>
        <v>99824</v>
      </c>
    </row>
    <row r="25" spans="1:18">
      <c r="A25" s="2" t="s">
        <v>11</v>
      </c>
      <c r="B25" s="2"/>
      <c r="C25" s="2"/>
      <c r="D25" s="2">
        <v>2026</v>
      </c>
      <c r="E25" s="2"/>
      <c r="F25" s="2">
        <v>116.27</v>
      </c>
      <c r="G25" s="2"/>
      <c r="H25" s="2"/>
      <c r="I25" s="2">
        <v>104.38</v>
      </c>
      <c r="J25" s="2"/>
      <c r="K25" s="2"/>
      <c r="L25" s="2">
        <v>48208</v>
      </c>
      <c r="M25" s="2"/>
      <c r="N25" s="2"/>
      <c r="O25" s="2">
        <v>57177</v>
      </c>
      <c r="P25" s="2"/>
      <c r="Q25" s="2"/>
      <c r="R25">
        <f t="shared" si="0"/>
        <v>105385</v>
      </c>
    </row>
    <row r="26" spans="1:18">
      <c r="A26" s="2" t="s">
        <v>12</v>
      </c>
      <c r="B26" s="2"/>
      <c r="C26" s="2"/>
      <c r="D26" s="2">
        <v>2023</v>
      </c>
      <c r="E26" s="2"/>
      <c r="F26" s="2">
        <v>109.66</v>
      </c>
      <c r="G26" s="2"/>
      <c r="H26" s="2"/>
      <c r="I26" s="2">
        <v>97.82</v>
      </c>
      <c r="J26" s="2"/>
      <c r="K26" s="2"/>
      <c r="L26" s="2">
        <v>24000</v>
      </c>
      <c r="M26" s="2"/>
      <c r="N26" s="2"/>
      <c r="O26" s="2">
        <v>63000</v>
      </c>
      <c r="P26" s="2"/>
      <c r="Q26" s="2"/>
      <c r="R26">
        <f t="shared" si="0"/>
        <v>87000</v>
      </c>
    </row>
    <row r="27" spans="1:18">
      <c r="A27" s="2" t="s">
        <v>12</v>
      </c>
      <c r="B27" s="2"/>
      <c r="C27" s="2"/>
      <c r="D27" s="2">
        <v>2024</v>
      </c>
      <c r="E27" s="2"/>
      <c r="F27" s="2">
        <v>107.41</v>
      </c>
      <c r="G27" s="2"/>
      <c r="H27" s="2"/>
      <c r="I27" s="2">
        <v>95.65</v>
      </c>
      <c r="J27" s="2"/>
      <c r="K27" s="2"/>
      <c r="L27" s="2">
        <v>24895</v>
      </c>
      <c r="M27" s="2"/>
      <c r="N27" s="2"/>
      <c r="O27" s="2">
        <v>65348</v>
      </c>
      <c r="P27" s="2"/>
      <c r="Q27" s="2"/>
      <c r="R27">
        <f t="shared" si="0"/>
        <v>90243</v>
      </c>
    </row>
    <row r="28" spans="1:18">
      <c r="A28" s="2" t="s">
        <v>12</v>
      </c>
      <c r="B28" s="2"/>
      <c r="C28" s="2"/>
      <c r="D28" s="2">
        <v>2025</v>
      </c>
      <c r="E28" s="2"/>
      <c r="F28" s="2">
        <v>108.5</v>
      </c>
      <c r="G28" s="2"/>
      <c r="H28" s="2"/>
      <c r="I28" s="2">
        <v>96.55</v>
      </c>
      <c r="J28" s="2"/>
      <c r="K28" s="2"/>
      <c r="L28" s="2">
        <v>25861</v>
      </c>
      <c r="M28" s="2"/>
      <c r="N28" s="2"/>
      <c r="O28" s="2">
        <v>67885</v>
      </c>
      <c r="P28" s="2"/>
      <c r="Q28" s="2"/>
      <c r="R28">
        <f t="shared" si="0"/>
        <v>93746</v>
      </c>
    </row>
    <row r="29" spans="1:18">
      <c r="A29" s="2" t="s">
        <v>12</v>
      </c>
      <c r="B29" s="2"/>
      <c r="C29" s="2"/>
      <c r="D29" s="2">
        <v>2026</v>
      </c>
      <c r="E29" s="2"/>
      <c r="F29" s="2">
        <v>116.27</v>
      </c>
      <c r="G29" s="2"/>
      <c r="H29" s="2"/>
      <c r="I29" s="2">
        <v>104.38</v>
      </c>
      <c r="J29" s="2"/>
      <c r="K29" s="2"/>
      <c r="L29" s="2">
        <v>27418</v>
      </c>
      <c r="M29" s="2"/>
      <c r="N29" s="2"/>
      <c r="O29" s="2">
        <v>71973</v>
      </c>
      <c r="P29" s="2"/>
      <c r="Q29" s="2"/>
      <c r="R29">
        <f t="shared" si="0"/>
        <v>99391</v>
      </c>
    </row>
    <row r="30" spans="1:18">
      <c r="A30" s="2" t="s">
        <v>13</v>
      </c>
      <c r="B30" s="2"/>
      <c r="C30" s="2"/>
      <c r="D30" s="2">
        <v>2023</v>
      </c>
      <c r="E30" s="2"/>
      <c r="F30" s="2">
        <v>109.66</v>
      </c>
      <c r="G30" s="2"/>
      <c r="H30" s="2"/>
      <c r="I30" s="2">
        <v>97.82</v>
      </c>
      <c r="J30" s="2"/>
      <c r="K30" s="2"/>
      <c r="L30" s="2">
        <v>25000</v>
      </c>
      <c r="M30" s="2"/>
      <c r="N30" s="2"/>
      <c r="O30" s="2">
        <v>44000</v>
      </c>
      <c r="P30" s="2"/>
      <c r="Q30" s="2"/>
      <c r="R30">
        <f t="shared" si="0"/>
        <v>69000</v>
      </c>
    </row>
    <row r="31" spans="1:18">
      <c r="A31" s="2" t="s">
        <v>13</v>
      </c>
      <c r="B31" s="2"/>
      <c r="C31" s="2"/>
      <c r="D31" s="2">
        <v>2024</v>
      </c>
      <c r="E31" s="2"/>
      <c r="F31" s="2">
        <v>107.41</v>
      </c>
      <c r="G31" s="2"/>
      <c r="H31" s="2"/>
      <c r="I31" s="2">
        <v>95.65</v>
      </c>
      <c r="J31" s="2"/>
      <c r="K31" s="2"/>
      <c r="L31" s="2">
        <v>25810</v>
      </c>
      <c r="M31" s="2"/>
      <c r="N31" s="2"/>
      <c r="O31" s="2">
        <v>45425</v>
      </c>
      <c r="P31" s="2"/>
      <c r="Q31" s="2"/>
      <c r="R31">
        <f t="shared" si="0"/>
        <v>71235</v>
      </c>
    </row>
    <row r="32" spans="1:18">
      <c r="A32" s="2" t="s">
        <v>13</v>
      </c>
      <c r="B32" s="2"/>
      <c r="C32" s="2"/>
      <c r="D32" s="2">
        <v>2025</v>
      </c>
      <c r="E32" s="2"/>
      <c r="F32" s="2">
        <v>108.5</v>
      </c>
      <c r="G32" s="2"/>
      <c r="H32" s="2"/>
      <c r="I32" s="2">
        <v>96.55</v>
      </c>
      <c r="J32" s="2"/>
      <c r="K32" s="2"/>
      <c r="L32" s="2">
        <v>27698</v>
      </c>
      <c r="M32" s="2"/>
      <c r="N32" s="2"/>
      <c r="O32" s="2">
        <v>48749</v>
      </c>
      <c r="P32" s="2"/>
      <c r="Q32" s="2"/>
      <c r="R32">
        <f t="shared" si="0"/>
        <v>76447</v>
      </c>
    </row>
    <row r="33" spans="1:18">
      <c r="A33" s="2" t="s">
        <v>13</v>
      </c>
      <c r="B33" s="2"/>
      <c r="C33" s="2"/>
      <c r="D33" s="2">
        <v>2026</v>
      </c>
      <c r="E33" s="2"/>
      <c r="F33" s="2">
        <v>116.27</v>
      </c>
      <c r="G33" s="2"/>
      <c r="H33" s="2"/>
      <c r="I33" s="2">
        <v>104.38</v>
      </c>
      <c r="J33" s="2"/>
      <c r="K33" s="2"/>
      <c r="L33" s="2">
        <v>29219</v>
      </c>
      <c r="M33" s="2"/>
      <c r="N33" s="2"/>
      <c r="O33" s="2">
        <v>51425</v>
      </c>
      <c r="P33" s="2"/>
      <c r="Q33" s="2"/>
      <c r="R33">
        <f t="shared" si="0"/>
        <v>80644</v>
      </c>
    </row>
    <row r="34" spans="1:18">
      <c r="A34" s="2" t="s">
        <v>14</v>
      </c>
      <c r="B34" s="2"/>
      <c r="C34" s="2"/>
      <c r="D34" s="2">
        <v>2023</v>
      </c>
      <c r="E34" s="2"/>
      <c r="F34" s="2">
        <v>109.66</v>
      </c>
      <c r="G34" s="2"/>
      <c r="H34" s="2"/>
      <c r="I34" s="2">
        <v>97.82</v>
      </c>
      <c r="J34" s="2"/>
      <c r="K34" s="2"/>
      <c r="L34" s="2">
        <v>22000</v>
      </c>
      <c r="M34" s="2"/>
      <c r="N34" s="2"/>
      <c r="O34" s="2">
        <v>83000</v>
      </c>
      <c r="P34" s="2"/>
      <c r="Q34" s="2"/>
      <c r="R34">
        <f t="shared" si="0"/>
        <v>105000</v>
      </c>
    </row>
    <row r="35" spans="1:18">
      <c r="A35" s="2" t="s">
        <v>14</v>
      </c>
      <c r="B35" s="2"/>
      <c r="C35" s="2"/>
      <c r="D35" s="2">
        <v>2024</v>
      </c>
      <c r="E35" s="2"/>
      <c r="F35" s="2">
        <v>107.41</v>
      </c>
      <c r="G35" s="2"/>
      <c r="H35" s="2"/>
      <c r="I35" s="2">
        <v>95.65</v>
      </c>
      <c r="J35" s="2"/>
      <c r="K35" s="2"/>
      <c r="L35" s="2">
        <v>22830</v>
      </c>
      <c r="M35" s="2"/>
      <c r="N35" s="2"/>
      <c r="O35" s="2">
        <v>86130</v>
      </c>
      <c r="P35" s="2"/>
      <c r="Q35" s="2"/>
      <c r="R35">
        <f t="shared" si="0"/>
        <v>108960</v>
      </c>
    </row>
    <row r="36" spans="1:18">
      <c r="A36" s="2" t="s">
        <v>14</v>
      </c>
      <c r="B36" s="2"/>
      <c r="C36" s="2"/>
      <c r="D36" s="2">
        <v>2025</v>
      </c>
      <c r="E36" s="2"/>
      <c r="F36" s="2">
        <v>108.5</v>
      </c>
      <c r="G36" s="2"/>
      <c r="H36" s="2"/>
      <c r="I36" s="2">
        <v>96.55</v>
      </c>
      <c r="J36" s="2"/>
      <c r="K36" s="2"/>
      <c r="L36" s="2">
        <v>23324</v>
      </c>
      <c r="M36" s="2"/>
      <c r="N36" s="2"/>
      <c r="O36" s="2">
        <v>87995</v>
      </c>
      <c r="P36" s="2"/>
      <c r="Q36" s="2"/>
      <c r="R36">
        <f t="shared" si="0"/>
        <v>111319</v>
      </c>
    </row>
    <row r="37" spans="1:18">
      <c r="A37" s="2" t="s">
        <v>14</v>
      </c>
      <c r="B37" s="2"/>
      <c r="C37" s="2"/>
      <c r="D37" s="2">
        <v>2026</v>
      </c>
      <c r="E37" s="2"/>
      <c r="F37" s="2">
        <v>116.27</v>
      </c>
      <c r="G37" s="2"/>
      <c r="H37" s="2"/>
      <c r="I37" s="2">
        <v>104.38</v>
      </c>
      <c r="J37" s="2"/>
      <c r="K37" s="2"/>
      <c r="L37" s="2">
        <v>24514</v>
      </c>
      <c r="M37" s="2"/>
      <c r="N37" s="2"/>
      <c r="O37" s="2">
        <v>92485</v>
      </c>
      <c r="P37" s="2"/>
      <c r="Q37" s="2"/>
      <c r="R37">
        <f t="shared" si="0"/>
        <v>116999</v>
      </c>
    </row>
    <row r="38" spans="1:18">
      <c r="A38" s="2" t="s">
        <v>15</v>
      </c>
      <c r="B38" s="2"/>
      <c r="C38" s="2"/>
      <c r="D38" s="2">
        <v>2023</v>
      </c>
      <c r="E38" s="2"/>
      <c r="F38" s="2">
        <v>109.66</v>
      </c>
      <c r="G38" s="2"/>
      <c r="H38" s="2"/>
      <c r="I38" s="2">
        <v>97.82</v>
      </c>
      <c r="J38" s="2"/>
      <c r="K38" s="2"/>
      <c r="L38" s="2">
        <v>63000</v>
      </c>
      <c r="M38" s="2"/>
      <c r="N38" s="2"/>
      <c r="O38" s="2">
        <v>94000</v>
      </c>
      <c r="P38" s="2"/>
      <c r="Q38" s="2"/>
      <c r="R38">
        <f t="shared" si="0"/>
        <v>157000</v>
      </c>
    </row>
    <row r="39" spans="1:18">
      <c r="A39" s="2" t="s">
        <v>15</v>
      </c>
      <c r="B39" s="2"/>
      <c r="C39" s="2"/>
      <c r="D39" s="2">
        <v>2024</v>
      </c>
      <c r="E39" s="2"/>
      <c r="F39" s="2">
        <v>107.41</v>
      </c>
      <c r="G39" s="2"/>
      <c r="H39" s="2"/>
      <c r="I39" s="2">
        <v>95.65</v>
      </c>
      <c r="J39" s="2"/>
      <c r="K39" s="2"/>
      <c r="L39" s="2">
        <v>65317</v>
      </c>
      <c r="M39" s="2"/>
      <c r="N39" s="2"/>
      <c r="O39" s="2">
        <v>97457</v>
      </c>
      <c r="P39" s="2"/>
      <c r="Q39" s="2"/>
      <c r="R39">
        <f t="shared" si="0"/>
        <v>162774</v>
      </c>
    </row>
    <row r="40" spans="1:18">
      <c r="A40" s="2" t="s">
        <v>15</v>
      </c>
      <c r="B40" s="2"/>
      <c r="C40" s="2"/>
      <c r="D40" s="2">
        <v>2025</v>
      </c>
      <c r="E40" s="2"/>
      <c r="F40" s="2">
        <v>108.5</v>
      </c>
      <c r="G40" s="2"/>
      <c r="H40" s="2"/>
      <c r="I40" s="2">
        <v>96.55</v>
      </c>
      <c r="J40" s="2"/>
      <c r="K40" s="2"/>
      <c r="L40" s="2">
        <v>69687</v>
      </c>
      <c r="M40" s="2"/>
      <c r="N40" s="2"/>
      <c r="O40" s="2">
        <v>103978</v>
      </c>
      <c r="P40" s="2"/>
      <c r="Q40" s="2"/>
      <c r="R40">
        <f t="shared" si="0"/>
        <v>173665</v>
      </c>
    </row>
    <row r="41" spans="1:18">
      <c r="A41" s="2" t="s">
        <v>15</v>
      </c>
      <c r="B41" s="2"/>
      <c r="C41" s="2"/>
      <c r="D41" s="2">
        <v>2026</v>
      </c>
      <c r="E41" s="2"/>
      <c r="F41" s="2">
        <v>116.27</v>
      </c>
      <c r="G41" s="2"/>
      <c r="H41" s="2"/>
      <c r="I41" s="2">
        <v>104.38</v>
      </c>
      <c r="J41" s="2"/>
      <c r="K41" s="2"/>
      <c r="L41" s="2">
        <v>71994</v>
      </c>
      <c r="M41" s="2"/>
      <c r="N41" s="2"/>
      <c r="O41" s="2">
        <v>107420</v>
      </c>
      <c r="P41" s="2"/>
      <c r="Q41" s="2"/>
      <c r="R41">
        <f t="shared" si="0"/>
        <v>179414</v>
      </c>
    </row>
    <row r="42" spans="1:18">
      <c r="A42" s="2" t="s">
        <v>16</v>
      </c>
      <c r="B42" s="2"/>
      <c r="C42" s="2"/>
      <c r="D42" s="2">
        <v>2023</v>
      </c>
      <c r="E42" s="2"/>
      <c r="F42" s="2">
        <v>109.96</v>
      </c>
      <c r="G42" s="2"/>
      <c r="H42" s="2"/>
      <c r="I42" s="2">
        <v>98.12</v>
      </c>
      <c r="J42" s="2"/>
      <c r="K42" s="2"/>
      <c r="L42" s="2">
        <v>83000</v>
      </c>
      <c r="M42" s="2"/>
      <c r="N42" s="2"/>
      <c r="O42" s="2">
        <v>153000</v>
      </c>
      <c r="P42" s="2"/>
      <c r="Q42" s="2"/>
      <c r="R42">
        <f t="shared" si="0"/>
        <v>236000</v>
      </c>
    </row>
    <row r="43" spans="1:18">
      <c r="A43" s="2" t="s">
        <v>16</v>
      </c>
      <c r="B43" s="2"/>
      <c r="C43" s="2"/>
      <c r="D43" s="2">
        <v>2024</v>
      </c>
      <c r="E43" s="2"/>
      <c r="F43" s="2">
        <v>107.71</v>
      </c>
      <c r="G43" s="2"/>
      <c r="H43" s="2"/>
      <c r="I43" s="2">
        <v>95.95</v>
      </c>
      <c r="J43" s="2"/>
      <c r="K43" s="2"/>
      <c r="L43" s="2">
        <v>87660</v>
      </c>
      <c r="M43" s="2"/>
      <c r="N43" s="2"/>
      <c r="O43" s="2">
        <v>161589</v>
      </c>
      <c r="P43" s="2"/>
      <c r="Q43" s="2"/>
      <c r="R43">
        <f t="shared" si="0"/>
        <v>249249</v>
      </c>
    </row>
    <row r="44" spans="1:18">
      <c r="A44" s="2" t="s">
        <v>16</v>
      </c>
      <c r="B44" s="2"/>
      <c r="C44" s="2"/>
      <c r="D44" s="2">
        <v>2025</v>
      </c>
      <c r="E44" s="2"/>
      <c r="F44" s="2">
        <v>108.8</v>
      </c>
      <c r="G44" s="2"/>
      <c r="H44" s="2"/>
      <c r="I44" s="2">
        <v>96.85</v>
      </c>
      <c r="J44" s="2"/>
      <c r="K44" s="2"/>
      <c r="L44" s="2">
        <v>89513</v>
      </c>
      <c r="M44" s="2"/>
      <c r="N44" s="2"/>
      <c r="O44" s="2">
        <v>165006</v>
      </c>
      <c r="P44" s="2"/>
      <c r="Q44" s="2"/>
      <c r="R44">
        <f t="shared" si="0"/>
        <v>254519</v>
      </c>
    </row>
    <row r="45" spans="1:18">
      <c r="A45" s="2" t="s">
        <v>16</v>
      </c>
      <c r="B45" s="2"/>
      <c r="C45" s="2"/>
      <c r="D45" s="2">
        <v>2026</v>
      </c>
      <c r="E45" s="2"/>
      <c r="F45" s="2">
        <v>116.57</v>
      </c>
      <c r="G45" s="2"/>
      <c r="H45" s="2"/>
      <c r="I45" s="2">
        <v>104.68</v>
      </c>
      <c r="J45" s="2"/>
      <c r="K45" s="2"/>
      <c r="L45" s="2">
        <v>92202</v>
      </c>
      <c r="M45" s="2"/>
      <c r="N45" s="2"/>
      <c r="O45" s="2">
        <v>169963</v>
      </c>
      <c r="P45" s="2"/>
      <c r="Q45" s="2"/>
      <c r="R45">
        <f t="shared" si="0"/>
        <v>262165</v>
      </c>
    </row>
    <row r="46" spans="1:18">
      <c r="A46" s="2" t="s">
        <v>17</v>
      </c>
      <c r="B46" s="2"/>
      <c r="C46" s="2"/>
      <c r="D46" s="2">
        <v>2023</v>
      </c>
      <c r="E46" s="2"/>
      <c r="F46" s="2">
        <v>110.41</v>
      </c>
      <c r="G46" s="2"/>
      <c r="H46" s="2"/>
      <c r="I46" s="2">
        <v>98.57</v>
      </c>
      <c r="J46" s="2"/>
      <c r="K46" s="2"/>
      <c r="L46" s="2">
        <v>52000</v>
      </c>
      <c r="M46" s="2"/>
      <c r="N46" s="2"/>
      <c r="O46" s="2">
        <v>43000</v>
      </c>
      <c r="P46" s="2"/>
      <c r="Q46" s="2"/>
      <c r="R46">
        <f t="shared" si="0"/>
        <v>95000</v>
      </c>
    </row>
    <row r="47" spans="1:18">
      <c r="A47" s="2" t="s">
        <v>17</v>
      </c>
      <c r="B47" s="2"/>
      <c r="C47" s="2"/>
      <c r="D47" s="2">
        <v>2024</v>
      </c>
      <c r="E47" s="2"/>
      <c r="F47" s="2">
        <v>108.16</v>
      </c>
      <c r="G47" s="2"/>
      <c r="H47" s="2"/>
      <c r="I47" s="2">
        <v>96.4</v>
      </c>
      <c r="J47" s="2"/>
      <c r="K47" s="2"/>
      <c r="L47" s="2">
        <v>54808</v>
      </c>
      <c r="M47" s="2"/>
      <c r="N47" s="2"/>
      <c r="O47" s="2">
        <v>45322</v>
      </c>
      <c r="P47" s="2"/>
      <c r="Q47" s="2"/>
      <c r="R47">
        <f t="shared" si="0"/>
        <v>100130</v>
      </c>
    </row>
    <row r="48" spans="1:18">
      <c r="A48" s="2" t="s">
        <v>17</v>
      </c>
      <c r="B48" s="2"/>
      <c r="C48" s="2"/>
      <c r="D48" s="2">
        <v>2025</v>
      </c>
      <c r="E48" s="2"/>
      <c r="F48" s="2">
        <v>109.25</v>
      </c>
      <c r="G48" s="2"/>
      <c r="H48" s="2"/>
      <c r="I48" s="2">
        <v>97.3</v>
      </c>
      <c r="J48" s="2"/>
      <c r="K48" s="2"/>
      <c r="L48" s="2">
        <v>55719</v>
      </c>
      <c r="M48" s="2"/>
      <c r="N48" s="2"/>
      <c r="O48" s="2">
        <v>46075</v>
      </c>
      <c r="P48" s="2"/>
      <c r="Q48" s="2"/>
      <c r="R48">
        <f t="shared" si="0"/>
        <v>101794</v>
      </c>
    </row>
    <row r="49" spans="1:18">
      <c r="A49" s="2" t="s">
        <v>17</v>
      </c>
      <c r="B49" s="2"/>
      <c r="C49" s="2"/>
      <c r="D49" s="2">
        <v>2026</v>
      </c>
      <c r="E49" s="2"/>
      <c r="F49" s="2">
        <v>117.02</v>
      </c>
      <c r="G49" s="2"/>
      <c r="H49" s="2"/>
      <c r="I49" s="2">
        <v>105.13</v>
      </c>
      <c r="J49" s="2"/>
      <c r="K49" s="2"/>
      <c r="L49" s="2">
        <v>57408</v>
      </c>
      <c r="M49" s="2"/>
      <c r="N49" s="2"/>
      <c r="O49" s="2">
        <v>47472</v>
      </c>
      <c r="P49" s="2"/>
      <c r="Q49" s="2"/>
      <c r="R49">
        <f t="shared" si="0"/>
        <v>104880</v>
      </c>
    </row>
    <row r="50" spans="1:18">
      <c r="A50" s="2" t="s">
        <v>18</v>
      </c>
      <c r="B50" s="2"/>
      <c r="C50" s="2"/>
      <c r="D50" s="2">
        <v>2023</v>
      </c>
      <c r="E50" s="2"/>
      <c r="F50" s="2">
        <v>109.66</v>
      </c>
      <c r="G50" s="2"/>
      <c r="H50" s="2"/>
      <c r="I50" s="2">
        <v>97.82</v>
      </c>
      <c r="J50" s="2"/>
      <c r="K50" s="2"/>
      <c r="L50" s="2">
        <v>49000</v>
      </c>
      <c r="M50" s="2"/>
      <c r="N50" s="2"/>
      <c r="O50" s="2">
        <v>58000</v>
      </c>
      <c r="P50" s="2"/>
      <c r="Q50" s="2"/>
      <c r="R50">
        <f t="shared" si="0"/>
        <v>107000</v>
      </c>
    </row>
    <row r="51" spans="1:18">
      <c r="A51" s="2" t="s">
        <v>18</v>
      </c>
      <c r="B51" s="2"/>
      <c r="C51" s="2"/>
      <c r="D51" s="2">
        <v>2024</v>
      </c>
      <c r="E51" s="2"/>
      <c r="F51" s="2">
        <v>107.41</v>
      </c>
      <c r="G51" s="2"/>
      <c r="H51" s="2"/>
      <c r="I51" s="2">
        <v>95.65</v>
      </c>
      <c r="J51" s="2"/>
      <c r="K51" s="2"/>
      <c r="L51" s="2">
        <v>50800</v>
      </c>
      <c r="M51" s="2"/>
      <c r="N51" s="2"/>
      <c r="O51" s="2">
        <v>60131</v>
      </c>
      <c r="P51" s="2"/>
      <c r="Q51" s="2"/>
      <c r="R51">
        <f t="shared" si="0"/>
        <v>110931</v>
      </c>
    </row>
    <row r="52" spans="1:18">
      <c r="A52" s="2" t="s">
        <v>18</v>
      </c>
      <c r="B52" s="2"/>
      <c r="C52" s="2"/>
      <c r="D52" s="2">
        <v>2025</v>
      </c>
      <c r="E52" s="2"/>
      <c r="F52" s="2">
        <v>108.5</v>
      </c>
      <c r="G52" s="2"/>
      <c r="H52" s="2"/>
      <c r="I52" s="2">
        <v>96.55</v>
      </c>
      <c r="J52" s="2"/>
      <c r="K52" s="2"/>
      <c r="L52" s="2">
        <v>53729</v>
      </c>
      <c r="M52" s="2"/>
      <c r="N52" s="2"/>
      <c r="O52" s="2">
        <v>63598</v>
      </c>
      <c r="P52" s="2"/>
      <c r="Q52" s="2"/>
      <c r="R52">
        <f t="shared" si="0"/>
        <v>117327</v>
      </c>
    </row>
    <row r="53" spans="1:18">
      <c r="A53" s="2" t="s">
        <v>18</v>
      </c>
      <c r="B53" s="2"/>
      <c r="C53" s="2"/>
      <c r="D53" s="2">
        <v>2026</v>
      </c>
      <c r="E53" s="2"/>
      <c r="F53" s="2">
        <v>116.27</v>
      </c>
      <c r="G53" s="2"/>
      <c r="H53" s="2"/>
      <c r="I53" s="2">
        <v>104.38</v>
      </c>
      <c r="J53" s="2"/>
      <c r="K53" s="2"/>
      <c r="L53" s="2">
        <v>56003</v>
      </c>
      <c r="M53" s="2"/>
      <c r="N53" s="2"/>
      <c r="O53" s="2">
        <v>66289</v>
      </c>
      <c r="P53" s="2"/>
      <c r="Q53" s="2"/>
      <c r="R53">
        <f t="shared" si="0"/>
        <v>122292</v>
      </c>
    </row>
    <row r="54" spans="1:18">
      <c r="A54" s="2" t="s">
        <v>19</v>
      </c>
      <c r="B54" s="2"/>
      <c r="C54" s="2"/>
      <c r="D54" s="2">
        <v>2023</v>
      </c>
      <c r="E54" s="2"/>
      <c r="F54" s="2">
        <v>110.5</v>
      </c>
      <c r="G54" s="2"/>
      <c r="H54" s="2"/>
      <c r="I54" s="2">
        <v>98.66</v>
      </c>
      <c r="J54" s="2"/>
      <c r="K54" s="2"/>
      <c r="L54" s="2">
        <v>40000</v>
      </c>
      <c r="M54" s="2"/>
      <c r="N54" s="2"/>
      <c r="O54" s="2">
        <v>71000</v>
      </c>
      <c r="P54" s="2"/>
      <c r="Q54" s="2"/>
      <c r="R54">
        <f t="shared" si="0"/>
        <v>111000</v>
      </c>
    </row>
    <row r="55" spans="1:18">
      <c r="A55" s="2" t="s">
        <v>19</v>
      </c>
      <c r="B55" s="2"/>
      <c r="C55" s="2"/>
      <c r="D55" s="2">
        <v>2024</v>
      </c>
      <c r="E55" s="2"/>
      <c r="F55" s="2">
        <v>108.25</v>
      </c>
      <c r="G55" s="2"/>
      <c r="H55" s="2"/>
      <c r="I55" s="2">
        <v>96.49</v>
      </c>
      <c r="J55" s="2"/>
      <c r="K55" s="2"/>
      <c r="L55" s="2">
        <v>41716</v>
      </c>
      <c r="M55" s="2"/>
      <c r="N55" s="2"/>
      <c r="O55" s="2">
        <v>74046</v>
      </c>
      <c r="P55" s="2"/>
      <c r="Q55" s="2"/>
      <c r="R55">
        <f t="shared" si="0"/>
        <v>115762</v>
      </c>
    </row>
    <row r="56" spans="1:18">
      <c r="A56" s="2" t="s">
        <v>19</v>
      </c>
      <c r="B56" s="2"/>
      <c r="C56" s="2"/>
      <c r="D56" s="2">
        <v>2025</v>
      </c>
      <c r="E56" s="2"/>
      <c r="F56" s="2">
        <v>109.34</v>
      </c>
      <c r="G56" s="2"/>
      <c r="H56" s="2"/>
      <c r="I56" s="2">
        <v>97.39</v>
      </c>
      <c r="J56" s="2"/>
      <c r="K56" s="2"/>
      <c r="L56" s="2">
        <v>43813</v>
      </c>
      <c r="M56" s="2"/>
      <c r="N56" s="2"/>
      <c r="O56" s="2">
        <v>77769</v>
      </c>
      <c r="P56" s="2"/>
      <c r="Q56" s="2"/>
      <c r="R56">
        <f t="shared" si="0"/>
        <v>121582</v>
      </c>
    </row>
    <row r="57" spans="1:18">
      <c r="A57" s="2" t="s">
        <v>19</v>
      </c>
      <c r="B57" s="2"/>
      <c r="C57" s="2"/>
      <c r="D57" s="2">
        <v>2026</v>
      </c>
      <c r="E57" s="2"/>
      <c r="F57" s="2">
        <v>117.11</v>
      </c>
      <c r="G57" s="2"/>
      <c r="H57" s="2"/>
      <c r="I57" s="2">
        <v>105.22</v>
      </c>
      <c r="J57" s="2"/>
      <c r="K57" s="2"/>
      <c r="L57" s="2">
        <v>44743</v>
      </c>
      <c r="M57" s="2"/>
      <c r="N57" s="2"/>
      <c r="O57" s="2">
        <v>79419</v>
      </c>
      <c r="P57" s="2"/>
      <c r="Q57" s="2"/>
      <c r="R57">
        <f t="shared" si="0"/>
        <v>124162</v>
      </c>
    </row>
    <row r="58" spans="1:18">
      <c r="A58" s="2" t="s">
        <v>20</v>
      </c>
      <c r="B58" s="2"/>
      <c r="C58" s="2"/>
      <c r="D58" s="2">
        <v>2023</v>
      </c>
      <c r="E58" s="2"/>
      <c r="F58" s="2">
        <v>109.66</v>
      </c>
      <c r="G58" s="2"/>
      <c r="H58" s="2"/>
      <c r="I58" s="2">
        <v>97.82</v>
      </c>
      <c r="J58" s="2"/>
      <c r="K58" s="2"/>
      <c r="L58" s="2">
        <v>54000</v>
      </c>
      <c r="M58" s="2"/>
      <c r="N58" s="2"/>
      <c r="O58" s="2">
        <v>54000</v>
      </c>
      <c r="P58" s="2"/>
      <c r="Q58" s="2"/>
      <c r="R58">
        <f t="shared" si="0"/>
        <v>108000</v>
      </c>
    </row>
    <row r="59" spans="1:18">
      <c r="A59" s="2" t="s">
        <v>20</v>
      </c>
      <c r="B59" s="2"/>
      <c r="C59" s="2"/>
      <c r="D59" s="2">
        <v>2024</v>
      </c>
      <c r="E59" s="2"/>
      <c r="F59" s="2">
        <v>107.41</v>
      </c>
      <c r="G59" s="2"/>
      <c r="H59" s="2"/>
      <c r="I59" s="2">
        <v>95.65</v>
      </c>
      <c r="J59" s="2"/>
      <c r="K59" s="2"/>
      <c r="L59" s="2">
        <v>56450</v>
      </c>
      <c r="M59" s="2"/>
      <c r="N59" s="2"/>
      <c r="O59" s="2">
        <v>56450</v>
      </c>
      <c r="P59" s="2"/>
      <c r="Q59" s="2"/>
      <c r="R59">
        <f t="shared" si="0"/>
        <v>112900</v>
      </c>
    </row>
    <row r="60" spans="1:18">
      <c r="A60" s="2" t="s">
        <v>20</v>
      </c>
      <c r="B60" s="2"/>
      <c r="C60" s="2"/>
      <c r="D60" s="2">
        <v>2025</v>
      </c>
      <c r="E60" s="2"/>
      <c r="F60" s="2">
        <v>108.5</v>
      </c>
      <c r="G60" s="2"/>
      <c r="H60" s="2"/>
      <c r="I60" s="2">
        <v>96.55</v>
      </c>
      <c r="J60" s="2"/>
      <c r="K60" s="2"/>
      <c r="L60" s="2">
        <v>60260</v>
      </c>
      <c r="M60" s="2"/>
      <c r="N60" s="2"/>
      <c r="O60" s="2">
        <v>60260</v>
      </c>
      <c r="P60" s="2"/>
      <c r="Q60" s="2"/>
      <c r="R60">
        <f t="shared" si="0"/>
        <v>120520</v>
      </c>
    </row>
    <row r="61" spans="1:18">
      <c r="A61" s="2" t="s">
        <v>20</v>
      </c>
      <c r="B61" s="2"/>
      <c r="C61" s="2"/>
      <c r="D61" s="2">
        <v>2026</v>
      </c>
      <c r="E61" s="2"/>
      <c r="F61" s="2">
        <v>116.27</v>
      </c>
      <c r="G61" s="2"/>
      <c r="H61" s="2"/>
      <c r="I61" s="2">
        <v>104.38</v>
      </c>
      <c r="J61" s="2"/>
      <c r="K61" s="2"/>
      <c r="L61" s="2">
        <v>60009</v>
      </c>
      <c r="M61" s="2"/>
      <c r="N61" s="2"/>
      <c r="O61" s="2">
        <v>60009</v>
      </c>
      <c r="P61" s="2"/>
      <c r="Q61" s="2"/>
      <c r="R61">
        <f t="shared" si="0"/>
        <v>120018</v>
      </c>
    </row>
    <row r="62" spans="1:18">
      <c r="A62" s="2" t="s">
        <v>21</v>
      </c>
      <c r="B62" s="2"/>
      <c r="C62" s="2"/>
      <c r="D62" s="2">
        <v>2023</v>
      </c>
      <c r="E62" s="2"/>
      <c r="F62" s="2">
        <v>109.66</v>
      </c>
      <c r="G62" s="2"/>
      <c r="H62" s="2"/>
      <c r="I62" s="2">
        <v>97.82</v>
      </c>
      <c r="J62" s="2"/>
      <c r="K62" s="2"/>
      <c r="L62" s="2">
        <v>34000</v>
      </c>
      <c r="M62" s="2"/>
      <c r="N62" s="2"/>
      <c r="O62" s="2">
        <v>68000</v>
      </c>
      <c r="P62" s="2"/>
      <c r="Q62" s="2"/>
      <c r="R62">
        <f t="shared" si="0"/>
        <v>102000</v>
      </c>
    </row>
    <row r="63" spans="1:18">
      <c r="A63" s="2" t="s">
        <v>21</v>
      </c>
      <c r="B63" s="2"/>
      <c r="C63" s="2"/>
      <c r="D63" s="2">
        <v>2024</v>
      </c>
      <c r="E63" s="2"/>
      <c r="F63" s="2">
        <v>107.41</v>
      </c>
      <c r="G63" s="2"/>
      <c r="H63" s="2"/>
      <c r="I63" s="2">
        <v>95.65</v>
      </c>
      <c r="J63" s="2"/>
      <c r="K63" s="2"/>
      <c r="L63" s="2">
        <v>35063</v>
      </c>
      <c r="M63" s="2"/>
      <c r="N63" s="2"/>
      <c r="O63" s="2">
        <v>70125</v>
      </c>
      <c r="P63" s="2"/>
      <c r="Q63" s="2"/>
      <c r="R63">
        <f t="shared" si="0"/>
        <v>105188</v>
      </c>
    </row>
    <row r="64" spans="1:18">
      <c r="A64" s="2" t="s">
        <v>21</v>
      </c>
      <c r="B64" s="2"/>
      <c r="C64" s="2"/>
      <c r="D64" s="2">
        <v>2025</v>
      </c>
      <c r="E64" s="2"/>
      <c r="F64" s="2">
        <v>108.5</v>
      </c>
      <c r="G64" s="2"/>
      <c r="H64" s="2"/>
      <c r="I64" s="2">
        <v>96.55</v>
      </c>
      <c r="J64" s="2"/>
      <c r="K64" s="2"/>
      <c r="L64" s="2">
        <v>37320</v>
      </c>
      <c r="M64" s="2"/>
      <c r="N64" s="2"/>
      <c r="O64" s="2">
        <v>74640</v>
      </c>
      <c r="P64" s="2"/>
      <c r="Q64" s="2"/>
      <c r="R64">
        <f t="shared" si="0"/>
        <v>111960</v>
      </c>
    </row>
    <row r="65" spans="1:18">
      <c r="A65" s="2" t="s">
        <v>21</v>
      </c>
      <c r="B65" s="2"/>
      <c r="C65" s="2"/>
      <c r="D65" s="2">
        <v>2026</v>
      </c>
      <c r="E65" s="2"/>
      <c r="F65" s="2">
        <v>116.27</v>
      </c>
      <c r="G65" s="2"/>
      <c r="H65" s="2"/>
      <c r="I65" s="2">
        <v>104.38</v>
      </c>
      <c r="J65" s="2"/>
      <c r="K65" s="2"/>
      <c r="L65" s="2">
        <v>37139</v>
      </c>
      <c r="M65" s="2"/>
      <c r="N65" s="2"/>
      <c r="O65" s="2">
        <v>74277</v>
      </c>
      <c r="P65" s="2"/>
      <c r="Q65" s="2"/>
      <c r="R65">
        <f t="shared" si="0"/>
        <v>111416</v>
      </c>
    </row>
    <row r="66" spans="1:18">
      <c r="A66" s="2" t="s">
        <v>22</v>
      </c>
      <c r="B66" s="2"/>
      <c r="C66" s="2"/>
      <c r="D66" s="2">
        <v>2023</v>
      </c>
      <c r="E66" s="2"/>
      <c r="F66" s="2">
        <v>108.91</v>
      </c>
      <c r="G66" s="2"/>
      <c r="H66" s="2"/>
      <c r="I66" s="2">
        <v>97.07</v>
      </c>
      <c r="J66" s="2"/>
      <c r="K66" s="2"/>
      <c r="L66" s="2">
        <v>198000</v>
      </c>
      <c r="M66" s="2"/>
      <c r="N66" s="2"/>
      <c r="O66" s="2">
        <v>313000</v>
      </c>
      <c r="P66" s="2"/>
      <c r="Q66" s="2"/>
      <c r="R66">
        <f t="shared" si="0"/>
        <v>511000</v>
      </c>
    </row>
    <row r="67" spans="1:18">
      <c r="A67" s="2" t="s">
        <v>22</v>
      </c>
      <c r="B67" s="2"/>
      <c r="C67" s="2"/>
      <c r="D67" s="2">
        <v>2024</v>
      </c>
      <c r="E67" s="2"/>
      <c r="F67" s="2">
        <v>106.66</v>
      </c>
      <c r="G67" s="2"/>
      <c r="H67" s="2"/>
      <c r="I67" s="2">
        <v>94.9</v>
      </c>
      <c r="J67" s="2"/>
      <c r="K67" s="2"/>
      <c r="L67" s="2">
        <v>205709</v>
      </c>
      <c r="M67" s="2"/>
      <c r="N67" s="2"/>
      <c r="O67" s="2">
        <v>325187</v>
      </c>
      <c r="P67" s="2"/>
      <c r="Q67" s="2"/>
      <c r="R67">
        <f t="shared" ref="R67:R130" si="1">L67+O67</f>
        <v>530896</v>
      </c>
    </row>
    <row r="68" spans="1:18">
      <c r="A68" s="2" t="s">
        <v>22</v>
      </c>
      <c r="B68" s="2"/>
      <c r="C68" s="2"/>
      <c r="D68" s="2">
        <v>2025</v>
      </c>
      <c r="E68" s="2"/>
      <c r="F68" s="2">
        <v>107.75</v>
      </c>
      <c r="G68" s="2"/>
      <c r="H68" s="2"/>
      <c r="I68" s="2">
        <v>95.8</v>
      </c>
      <c r="J68" s="2"/>
      <c r="K68" s="2"/>
      <c r="L68" s="2">
        <v>218716</v>
      </c>
      <c r="M68" s="2"/>
      <c r="N68" s="2"/>
      <c r="O68" s="2">
        <v>345749</v>
      </c>
      <c r="P68" s="2"/>
      <c r="Q68" s="2"/>
      <c r="R68">
        <f t="shared" si="1"/>
        <v>564465</v>
      </c>
    </row>
    <row r="69" spans="1:18">
      <c r="A69" s="2" t="s">
        <v>22</v>
      </c>
      <c r="B69" s="2"/>
      <c r="C69" s="2"/>
      <c r="D69" s="2">
        <v>2026</v>
      </c>
      <c r="E69" s="2"/>
      <c r="F69" s="2">
        <v>115.52</v>
      </c>
      <c r="G69" s="2"/>
      <c r="H69" s="2"/>
      <c r="I69" s="2">
        <v>103.63</v>
      </c>
      <c r="J69" s="2"/>
      <c r="K69" s="2"/>
      <c r="L69" s="2">
        <v>218303</v>
      </c>
      <c r="M69" s="2"/>
      <c r="N69" s="2"/>
      <c r="O69" s="2">
        <v>345096</v>
      </c>
      <c r="P69" s="2"/>
      <c r="Q69" s="2"/>
      <c r="R69">
        <f t="shared" si="1"/>
        <v>563399</v>
      </c>
    </row>
    <row r="70" spans="1:18">
      <c r="A70" s="2" t="s">
        <v>23</v>
      </c>
      <c r="B70" s="2"/>
      <c r="C70" s="2"/>
      <c r="D70" s="2">
        <v>2023</v>
      </c>
      <c r="E70" s="2"/>
      <c r="F70" s="2">
        <v>109.66</v>
      </c>
      <c r="G70" s="2"/>
      <c r="H70" s="2"/>
      <c r="I70" s="2">
        <v>97.82</v>
      </c>
      <c r="J70" s="2"/>
      <c r="K70" s="2"/>
      <c r="L70" s="2">
        <v>46000</v>
      </c>
      <c r="M70" s="2"/>
      <c r="N70" s="2"/>
      <c r="O70" s="2">
        <v>61000</v>
      </c>
      <c r="P70" s="2"/>
      <c r="Q70" s="2"/>
      <c r="R70">
        <f t="shared" si="1"/>
        <v>107000</v>
      </c>
    </row>
    <row r="71" spans="1:18">
      <c r="A71" s="2" t="s">
        <v>23</v>
      </c>
      <c r="B71" s="2"/>
      <c r="C71" s="2"/>
      <c r="D71" s="2">
        <v>2024</v>
      </c>
      <c r="E71" s="2"/>
      <c r="F71" s="2">
        <v>107.41</v>
      </c>
      <c r="G71" s="2"/>
      <c r="H71" s="2"/>
      <c r="I71" s="2">
        <v>95.65</v>
      </c>
      <c r="J71" s="2"/>
      <c r="K71" s="2"/>
      <c r="L71" s="2">
        <v>48269</v>
      </c>
      <c r="M71" s="2"/>
      <c r="N71" s="2"/>
      <c r="O71" s="2">
        <v>64009</v>
      </c>
      <c r="P71" s="2"/>
      <c r="Q71" s="2"/>
      <c r="R71">
        <f t="shared" si="1"/>
        <v>112278</v>
      </c>
    </row>
    <row r="72" spans="1:18">
      <c r="A72" s="2" t="s">
        <v>23</v>
      </c>
      <c r="B72" s="2"/>
      <c r="C72" s="2"/>
      <c r="D72" s="2">
        <v>2025</v>
      </c>
      <c r="E72" s="2"/>
      <c r="F72" s="2">
        <v>108.5</v>
      </c>
      <c r="G72" s="2"/>
      <c r="H72" s="2"/>
      <c r="I72" s="2">
        <v>96.55</v>
      </c>
      <c r="J72" s="2"/>
      <c r="K72" s="2"/>
      <c r="L72" s="2">
        <v>51471</v>
      </c>
      <c r="M72" s="2"/>
      <c r="N72" s="2"/>
      <c r="O72" s="2">
        <v>68254</v>
      </c>
      <c r="P72" s="2"/>
      <c r="Q72" s="2"/>
      <c r="R72">
        <f t="shared" si="1"/>
        <v>119725</v>
      </c>
    </row>
    <row r="73" spans="1:18">
      <c r="A73" s="2" t="s">
        <v>23</v>
      </c>
      <c r="B73" s="2"/>
      <c r="C73" s="2"/>
      <c r="D73" s="2">
        <v>2026</v>
      </c>
      <c r="E73" s="2"/>
      <c r="F73" s="2">
        <v>116.27</v>
      </c>
      <c r="G73" s="2"/>
      <c r="H73" s="2"/>
      <c r="I73" s="2">
        <v>104.38</v>
      </c>
      <c r="J73" s="2"/>
      <c r="K73" s="2"/>
      <c r="L73" s="2">
        <v>51075</v>
      </c>
      <c r="M73" s="2"/>
      <c r="N73" s="2"/>
      <c r="O73" s="2">
        <v>67730</v>
      </c>
      <c r="P73" s="2"/>
      <c r="Q73" s="2"/>
      <c r="R73">
        <f t="shared" si="1"/>
        <v>118805</v>
      </c>
    </row>
    <row r="74" spans="1:18">
      <c r="A74" s="2" t="s">
        <v>24</v>
      </c>
      <c r="B74" s="2"/>
      <c r="C74" s="2"/>
      <c r="D74" s="2">
        <v>2023</v>
      </c>
      <c r="E74" s="2"/>
      <c r="F74" s="2">
        <v>109.66</v>
      </c>
      <c r="G74" s="2"/>
      <c r="H74" s="2"/>
      <c r="I74" s="2">
        <v>97.82</v>
      </c>
      <c r="J74" s="2"/>
      <c r="K74" s="2"/>
      <c r="L74" s="2">
        <v>35000</v>
      </c>
      <c r="M74" s="2"/>
      <c r="N74" s="2"/>
      <c r="O74" s="2">
        <v>47000</v>
      </c>
      <c r="P74" s="2"/>
      <c r="Q74" s="2"/>
      <c r="R74">
        <f t="shared" si="1"/>
        <v>82000</v>
      </c>
    </row>
    <row r="75" spans="1:18">
      <c r="A75" s="2" t="s">
        <v>24</v>
      </c>
      <c r="B75" s="2"/>
      <c r="C75" s="2"/>
      <c r="D75" s="2">
        <v>2024</v>
      </c>
      <c r="E75" s="2"/>
      <c r="F75" s="2">
        <v>107.41</v>
      </c>
      <c r="G75" s="2"/>
      <c r="H75" s="2"/>
      <c r="I75" s="2">
        <v>95.65</v>
      </c>
      <c r="J75" s="2"/>
      <c r="K75" s="2"/>
      <c r="L75" s="2">
        <v>36791</v>
      </c>
      <c r="M75" s="2"/>
      <c r="N75" s="2"/>
      <c r="O75" s="2">
        <v>49405</v>
      </c>
      <c r="P75" s="2"/>
      <c r="Q75" s="2"/>
      <c r="R75">
        <f t="shared" si="1"/>
        <v>86196</v>
      </c>
    </row>
    <row r="76" spans="1:18">
      <c r="A76" s="2" t="s">
        <v>24</v>
      </c>
      <c r="B76" s="2"/>
      <c r="C76" s="2"/>
      <c r="D76" s="2">
        <v>2025</v>
      </c>
      <c r="E76" s="2"/>
      <c r="F76" s="2">
        <v>108.5</v>
      </c>
      <c r="G76" s="2"/>
      <c r="H76" s="2"/>
      <c r="I76" s="2">
        <v>96.55</v>
      </c>
      <c r="J76" s="2"/>
      <c r="K76" s="2"/>
      <c r="L76" s="2">
        <v>38659</v>
      </c>
      <c r="M76" s="2"/>
      <c r="N76" s="2"/>
      <c r="O76" s="2">
        <v>51913</v>
      </c>
      <c r="P76" s="2"/>
      <c r="Q76" s="2"/>
      <c r="R76">
        <f t="shared" si="1"/>
        <v>90572</v>
      </c>
    </row>
    <row r="77" spans="1:18">
      <c r="A77" s="2" t="s">
        <v>24</v>
      </c>
      <c r="B77" s="2"/>
      <c r="C77" s="2"/>
      <c r="D77" s="2">
        <v>2026</v>
      </c>
      <c r="E77" s="2"/>
      <c r="F77" s="2">
        <v>116.27</v>
      </c>
      <c r="G77" s="2"/>
      <c r="H77" s="2"/>
      <c r="I77" s="2">
        <v>104.38</v>
      </c>
      <c r="J77" s="2"/>
      <c r="K77" s="2"/>
      <c r="L77" s="2">
        <v>41049</v>
      </c>
      <c r="M77" s="2"/>
      <c r="N77" s="2"/>
      <c r="O77" s="2">
        <v>55124</v>
      </c>
      <c r="P77" s="2"/>
      <c r="Q77" s="2"/>
      <c r="R77">
        <f t="shared" si="1"/>
        <v>96173</v>
      </c>
    </row>
    <row r="78" spans="1:18">
      <c r="A78" s="2" t="s">
        <v>25</v>
      </c>
      <c r="B78" s="2"/>
      <c r="C78" s="2"/>
      <c r="D78" s="2">
        <v>2023</v>
      </c>
      <c r="E78" s="2"/>
      <c r="F78" s="2">
        <v>109.66</v>
      </c>
      <c r="G78" s="2"/>
      <c r="H78" s="2"/>
      <c r="I78" s="2">
        <v>97.82</v>
      </c>
      <c r="J78" s="2"/>
      <c r="K78" s="2"/>
      <c r="L78" s="2">
        <v>71000</v>
      </c>
      <c r="M78" s="2"/>
      <c r="N78" s="2"/>
      <c r="O78" s="2">
        <v>149000</v>
      </c>
      <c r="P78" s="2"/>
      <c r="Q78" s="2"/>
      <c r="R78">
        <f t="shared" si="1"/>
        <v>220000</v>
      </c>
    </row>
    <row r="79" spans="1:18">
      <c r="A79" s="2" t="s">
        <v>25</v>
      </c>
      <c r="B79" s="2"/>
      <c r="C79" s="2"/>
      <c r="D79" s="2">
        <v>2024</v>
      </c>
      <c r="E79" s="2"/>
      <c r="F79" s="2">
        <v>107.41</v>
      </c>
      <c r="G79" s="2"/>
      <c r="H79" s="2"/>
      <c r="I79" s="2">
        <v>95.65</v>
      </c>
      <c r="J79" s="2"/>
      <c r="K79" s="2"/>
      <c r="L79" s="2">
        <v>74513</v>
      </c>
      <c r="M79" s="2"/>
      <c r="N79" s="2"/>
      <c r="O79" s="2">
        <v>156372</v>
      </c>
      <c r="P79" s="2"/>
      <c r="Q79" s="2"/>
      <c r="R79">
        <f t="shared" si="1"/>
        <v>230885</v>
      </c>
    </row>
    <row r="80" spans="1:18">
      <c r="A80" s="2" t="s">
        <v>25</v>
      </c>
      <c r="B80" s="2"/>
      <c r="C80" s="2"/>
      <c r="D80" s="2">
        <v>2025</v>
      </c>
      <c r="E80" s="2"/>
      <c r="F80" s="2">
        <v>108.5</v>
      </c>
      <c r="G80" s="2"/>
      <c r="H80" s="2"/>
      <c r="I80" s="2">
        <v>96.55</v>
      </c>
      <c r="J80" s="2"/>
      <c r="K80" s="2"/>
      <c r="L80" s="2">
        <v>76549</v>
      </c>
      <c r="M80" s="2"/>
      <c r="N80" s="2"/>
      <c r="O80" s="2">
        <v>160644</v>
      </c>
      <c r="P80" s="2"/>
      <c r="Q80" s="2"/>
      <c r="R80">
        <f t="shared" si="1"/>
        <v>237193</v>
      </c>
    </row>
    <row r="81" spans="1:18">
      <c r="A81" s="2" t="s">
        <v>25</v>
      </c>
      <c r="B81" s="2"/>
      <c r="C81" s="2"/>
      <c r="D81" s="2">
        <v>2026</v>
      </c>
      <c r="E81" s="2"/>
      <c r="F81" s="2">
        <v>116.27</v>
      </c>
      <c r="G81" s="2"/>
      <c r="H81" s="2"/>
      <c r="I81" s="2">
        <v>104.38</v>
      </c>
      <c r="J81" s="2"/>
      <c r="K81" s="2"/>
      <c r="L81" s="2">
        <v>77439</v>
      </c>
      <c r="M81" s="2"/>
      <c r="N81" s="2"/>
      <c r="O81" s="2">
        <v>162513</v>
      </c>
      <c r="P81" s="2"/>
      <c r="Q81" s="2"/>
      <c r="R81">
        <f t="shared" si="1"/>
        <v>239952</v>
      </c>
    </row>
    <row r="82" spans="1:18">
      <c r="A82" s="2" t="s">
        <v>26</v>
      </c>
      <c r="B82" s="2"/>
      <c r="C82" s="2"/>
      <c r="D82" s="2">
        <v>2023</v>
      </c>
      <c r="E82" s="2"/>
      <c r="F82" s="2">
        <v>109.66</v>
      </c>
      <c r="G82" s="2"/>
      <c r="H82" s="2"/>
      <c r="I82" s="2">
        <v>97.82</v>
      </c>
      <c r="J82" s="2"/>
      <c r="K82" s="2"/>
      <c r="L82" s="2">
        <v>40000</v>
      </c>
      <c r="M82" s="2"/>
      <c r="N82" s="2"/>
      <c r="O82" s="2">
        <v>47000</v>
      </c>
      <c r="P82" s="2"/>
      <c r="Q82" s="2"/>
      <c r="R82">
        <f t="shared" si="1"/>
        <v>87000</v>
      </c>
    </row>
    <row r="83" spans="1:18">
      <c r="A83" s="2" t="s">
        <v>26</v>
      </c>
      <c r="B83" s="2"/>
      <c r="C83" s="2"/>
      <c r="D83" s="2">
        <v>2024</v>
      </c>
      <c r="E83" s="2"/>
      <c r="F83" s="2">
        <v>107.41</v>
      </c>
      <c r="G83" s="2"/>
      <c r="H83" s="2"/>
      <c r="I83" s="2">
        <v>95.65</v>
      </c>
      <c r="J83" s="2"/>
      <c r="K83" s="2"/>
      <c r="L83" s="2">
        <v>42340</v>
      </c>
      <c r="M83" s="2"/>
      <c r="N83" s="2"/>
      <c r="O83" s="2">
        <v>49749</v>
      </c>
      <c r="P83" s="2"/>
      <c r="Q83" s="2"/>
      <c r="R83">
        <f t="shared" si="1"/>
        <v>92089</v>
      </c>
    </row>
    <row r="84" spans="1:18">
      <c r="A84" s="2" t="s">
        <v>26</v>
      </c>
      <c r="B84" s="2"/>
      <c r="C84" s="2"/>
      <c r="D84" s="2">
        <v>2025</v>
      </c>
      <c r="E84" s="2"/>
      <c r="F84" s="2">
        <v>108.5</v>
      </c>
      <c r="G84" s="2"/>
      <c r="H84" s="2"/>
      <c r="I84" s="2">
        <v>96.55</v>
      </c>
      <c r="J84" s="2"/>
      <c r="K84" s="2"/>
      <c r="L84" s="2">
        <v>43471</v>
      </c>
      <c r="M84" s="2"/>
      <c r="N84" s="2"/>
      <c r="O84" s="2">
        <v>51078</v>
      </c>
      <c r="P84" s="2"/>
      <c r="Q84" s="2"/>
      <c r="R84">
        <f t="shared" si="1"/>
        <v>94549</v>
      </c>
    </row>
    <row r="85" spans="1:18">
      <c r="A85" s="2" t="s">
        <v>26</v>
      </c>
      <c r="B85" s="2"/>
      <c r="C85" s="2"/>
      <c r="D85" s="2">
        <v>2026</v>
      </c>
      <c r="E85" s="2"/>
      <c r="F85" s="2">
        <v>116.27</v>
      </c>
      <c r="G85" s="2"/>
      <c r="H85" s="2"/>
      <c r="I85" s="2">
        <v>104.38</v>
      </c>
      <c r="J85" s="2"/>
      <c r="K85" s="2"/>
      <c r="L85" s="2">
        <v>45235</v>
      </c>
      <c r="M85" s="2"/>
      <c r="N85" s="2"/>
      <c r="O85" s="2">
        <v>53151</v>
      </c>
      <c r="P85" s="2"/>
      <c r="Q85" s="2"/>
      <c r="R85">
        <f t="shared" si="1"/>
        <v>98386</v>
      </c>
    </row>
    <row r="86" spans="1:18">
      <c r="A86" s="2" t="s">
        <v>27</v>
      </c>
      <c r="B86" s="2"/>
      <c r="C86" s="2"/>
      <c r="D86" s="2">
        <v>2023</v>
      </c>
      <c r="E86" s="2"/>
      <c r="F86" s="2">
        <v>109.66</v>
      </c>
      <c r="G86" s="2"/>
      <c r="H86" s="2"/>
      <c r="I86" s="2">
        <v>97.82</v>
      </c>
      <c r="J86" s="2"/>
      <c r="K86" s="2"/>
      <c r="L86" s="2">
        <v>39000</v>
      </c>
      <c r="M86" s="2"/>
      <c r="N86" s="2"/>
      <c r="O86" s="2">
        <v>43000</v>
      </c>
      <c r="P86" s="2"/>
      <c r="Q86" s="2"/>
      <c r="R86">
        <f t="shared" si="1"/>
        <v>82000</v>
      </c>
    </row>
    <row r="87" spans="1:18">
      <c r="A87" s="2" t="s">
        <v>27</v>
      </c>
      <c r="B87" s="2"/>
      <c r="C87" s="2"/>
      <c r="D87" s="2">
        <v>2024</v>
      </c>
      <c r="E87" s="2"/>
      <c r="F87" s="2">
        <v>107.41</v>
      </c>
      <c r="G87" s="2"/>
      <c r="H87" s="2"/>
      <c r="I87" s="2">
        <v>95.65</v>
      </c>
      <c r="J87" s="2"/>
      <c r="K87" s="2"/>
      <c r="L87" s="2">
        <v>40699</v>
      </c>
      <c r="M87" s="2"/>
      <c r="N87" s="2"/>
      <c r="O87" s="2">
        <v>44873</v>
      </c>
      <c r="P87" s="2"/>
      <c r="Q87" s="2"/>
      <c r="R87">
        <f t="shared" si="1"/>
        <v>85572</v>
      </c>
    </row>
    <row r="88" spans="1:18">
      <c r="A88" s="2" t="s">
        <v>27</v>
      </c>
      <c r="B88" s="2"/>
      <c r="C88" s="2"/>
      <c r="D88" s="2">
        <v>2025</v>
      </c>
      <c r="E88" s="2"/>
      <c r="F88" s="2">
        <v>108.5</v>
      </c>
      <c r="G88" s="2"/>
      <c r="H88" s="2"/>
      <c r="I88" s="2">
        <v>96.55</v>
      </c>
      <c r="J88" s="2"/>
      <c r="K88" s="2"/>
      <c r="L88" s="2">
        <v>41681</v>
      </c>
      <c r="M88" s="2"/>
      <c r="N88" s="2"/>
      <c r="O88" s="2">
        <v>45956</v>
      </c>
      <c r="P88" s="2"/>
      <c r="Q88" s="2"/>
      <c r="R88">
        <f t="shared" si="1"/>
        <v>87637</v>
      </c>
    </row>
    <row r="89" spans="1:18">
      <c r="A89" s="2" t="s">
        <v>27</v>
      </c>
      <c r="B89" s="2"/>
      <c r="C89" s="2"/>
      <c r="D89" s="2">
        <v>2026</v>
      </c>
      <c r="E89" s="2"/>
      <c r="F89" s="2">
        <v>116.27</v>
      </c>
      <c r="G89" s="2"/>
      <c r="H89" s="2"/>
      <c r="I89" s="2">
        <v>104.38</v>
      </c>
      <c r="J89" s="2"/>
      <c r="K89" s="2"/>
      <c r="L89" s="2">
        <v>44889</v>
      </c>
      <c r="M89" s="2"/>
      <c r="N89" s="2"/>
      <c r="O89" s="2">
        <v>49493</v>
      </c>
      <c r="P89" s="2"/>
      <c r="Q89" s="2"/>
      <c r="R89">
        <f t="shared" si="1"/>
        <v>94382</v>
      </c>
    </row>
    <row r="90" spans="1:18">
      <c r="A90" s="2" t="s">
        <v>28</v>
      </c>
      <c r="B90" s="2"/>
      <c r="C90" s="2"/>
      <c r="D90" s="2">
        <v>2023</v>
      </c>
      <c r="E90" s="2"/>
      <c r="F90" s="2">
        <v>110.06</v>
      </c>
      <c r="G90" s="2"/>
      <c r="H90" s="2"/>
      <c r="I90" s="2">
        <v>98.22</v>
      </c>
      <c r="J90" s="2"/>
      <c r="K90" s="2"/>
      <c r="L90" s="2">
        <v>95000</v>
      </c>
      <c r="M90" s="2"/>
      <c r="N90" s="2"/>
      <c r="O90" s="2">
        <v>113000</v>
      </c>
      <c r="P90" s="2"/>
      <c r="Q90" s="2"/>
      <c r="R90">
        <f t="shared" si="1"/>
        <v>208000</v>
      </c>
    </row>
    <row r="91" spans="1:18">
      <c r="A91" s="2" t="s">
        <v>28</v>
      </c>
      <c r="B91" s="2"/>
      <c r="C91" s="2"/>
      <c r="D91" s="2">
        <v>2024</v>
      </c>
      <c r="E91" s="2"/>
      <c r="F91" s="2">
        <v>107.81</v>
      </c>
      <c r="G91" s="2"/>
      <c r="H91" s="2"/>
      <c r="I91" s="2">
        <v>96.05</v>
      </c>
      <c r="J91" s="2"/>
      <c r="K91" s="2"/>
      <c r="L91" s="2">
        <v>100640</v>
      </c>
      <c r="M91" s="2"/>
      <c r="N91" s="2"/>
      <c r="O91" s="2">
        <v>119709</v>
      </c>
      <c r="P91" s="2"/>
      <c r="Q91" s="2"/>
      <c r="R91">
        <f t="shared" si="1"/>
        <v>220349</v>
      </c>
    </row>
    <row r="92" spans="1:18">
      <c r="A92" s="2" t="s">
        <v>28</v>
      </c>
      <c r="B92" s="2"/>
      <c r="C92" s="2"/>
      <c r="D92" s="2">
        <v>2025</v>
      </c>
      <c r="E92" s="2"/>
      <c r="F92" s="2">
        <v>108.9</v>
      </c>
      <c r="G92" s="2"/>
      <c r="H92" s="2"/>
      <c r="I92" s="2">
        <v>96.95</v>
      </c>
      <c r="J92" s="2"/>
      <c r="K92" s="2"/>
      <c r="L92" s="2">
        <v>105909</v>
      </c>
      <c r="M92" s="2"/>
      <c r="N92" s="2"/>
      <c r="O92" s="2">
        <v>125976</v>
      </c>
      <c r="P92" s="2"/>
      <c r="Q92" s="2"/>
      <c r="R92">
        <f t="shared" si="1"/>
        <v>231885</v>
      </c>
    </row>
    <row r="93" spans="1:18">
      <c r="A93" s="2" t="s">
        <v>28</v>
      </c>
      <c r="B93" s="2"/>
      <c r="C93" s="2"/>
      <c r="D93" s="2">
        <v>2026</v>
      </c>
      <c r="E93" s="2"/>
      <c r="F93" s="2">
        <v>116.67</v>
      </c>
      <c r="G93" s="2"/>
      <c r="H93" s="2"/>
      <c r="I93" s="2">
        <v>104.78</v>
      </c>
      <c r="J93" s="2"/>
      <c r="K93" s="2"/>
      <c r="L93" s="2">
        <v>108310</v>
      </c>
      <c r="M93" s="2"/>
      <c r="N93" s="2"/>
      <c r="O93" s="2">
        <v>128831</v>
      </c>
      <c r="P93" s="2"/>
      <c r="Q93" s="2"/>
      <c r="R93">
        <f t="shared" si="1"/>
        <v>237141</v>
      </c>
    </row>
    <row r="94" spans="1:18">
      <c r="A94" s="2" t="s">
        <v>29</v>
      </c>
      <c r="B94" s="2"/>
      <c r="C94" s="2"/>
      <c r="D94" s="2">
        <v>2023</v>
      </c>
      <c r="E94" s="2"/>
      <c r="F94" s="2">
        <v>109.66</v>
      </c>
      <c r="G94" s="2"/>
      <c r="H94" s="2"/>
      <c r="I94" s="2">
        <v>97.82</v>
      </c>
      <c r="J94" s="2"/>
      <c r="K94" s="2"/>
      <c r="L94" s="2">
        <v>20000</v>
      </c>
      <c r="M94" s="2"/>
      <c r="N94" s="2"/>
      <c r="O94" s="2">
        <v>47000</v>
      </c>
      <c r="P94" s="2"/>
      <c r="Q94" s="2"/>
      <c r="R94">
        <f t="shared" si="1"/>
        <v>67000</v>
      </c>
    </row>
    <row r="95" spans="1:18">
      <c r="A95" s="2" t="s">
        <v>29</v>
      </c>
      <c r="B95" s="2"/>
      <c r="C95" s="2"/>
      <c r="D95" s="2">
        <v>2024</v>
      </c>
      <c r="E95" s="2"/>
      <c r="F95" s="2">
        <v>107.41</v>
      </c>
      <c r="G95" s="2"/>
      <c r="H95" s="2"/>
      <c r="I95" s="2">
        <v>95.65</v>
      </c>
      <c r="J95" s="2"/>
      <c r="K95" s="2"/>
      <c r="L95" s="2">
        <v>20816</v>
      </c>
      <c r="M95" s="2"/>
      <c r="N95" s="2"/>
      <c r="O95" s="2">
        <v>48918</v>
      </c>
      <c r="P95" s="2"/>
      <c r="Q95" s="2"/>
      <c r="R95">
        <f t="shared" si="1"/>
        <v>69734</v>
      </c>
    </row>
    <row r="96" spans="1:18">
      <c r="A96" s="2" t="s">
        <v>29</v>
      </c>
      <c r="B96" s="2"/>
      <c r="C96" s="2"/>
      <c r="D96" s="2">
        <v>2025</v>
      </c>
      <c r="E96" s="2"/>
      <c r="F96" s="2">
        <v>108.5</v>
      </c>
      <c r="G96" s="2"/>
      <c r="H96" s="2"/>
      <c r="I96" s="2">
        <v>96.55</v>
      </c>
      <c r="J96" s="2"/>
      <c r="K96" s="2"/>
      <c r="L96" s="2">
        <v>21591</v>
      </c>
      <c r="M96" s="2"/>
      <c r="N96" s="2"/>
      <c r="O96" s="2">
        <v>50739</v>
      </c>
      <c r="P96" s="2"/>
      <c r="Q96" s="2"/>
      <c r="R96">
        <f t="shared" si="1"/>
        <v>72330</v>
      </c>
    </row>
    <row r="97" spans="1:18">
      <c r="A97" s="2" t="s">
        <v>29</v>
      </c>
      <c r="B97" s="2"/>
      <c r="C97" s="2"/>
      <c r="D97" s="2">
        <v>2026</v>
      </c>
      <c r="E97" s="2"/>
      <c r="F97" s="2">
        <v>116.27</v>
      </c>
      <c r="G97" s="2"/>
      <c r="H97" s="2"/>
      <c r="I97" s="2">
        <v>104.38</v>
      </c>
      <c r="J97" s="2"/>
      <c r="K97" s="2"/>
      <c r="L97" s="2">
        <v>23300</v>
      </c>
      <c r="M97" s="2"/>
      <c r="N97" s="2"/>
      <c r="O97" s="2">
        <v>54756</v>
      </c>
      <c r="P97" s="2"/>
      <c r="Q97" s="2"/>
      <c r="R97">
        <f t="shared" si="1"/>
        <v>78056</v>
      </c>
    </row>
    <row r="98" spans="1:18">
      <c r="A98" s="2" t="s">
        <v>30</v>
      </c>
      <c r="B98" s="2"/>
      <c r="C98" s="2"/>
      <c r="D98" s="2">
        <v>2023</v>
      </c>
      <c r="E98" s="2"/>
      <c r="F98" s="2">
        <v>109.66</v>
      </c>
      <c r="G98" s="2"/>
      <c r="H98" s="2"/>
      <c r="I98" s="2">
        <v>97.82</v>
      </c>
      <c r="J98" s="2"/>
      <c r="K98" s="2"/>
      <c r="L98" s="2">
        <v>21000</v>
      </c>
      <c r="M98" s="2"/>
      <c r="N98" s="2"/>
      <c r="O98" s="2">
        <v>53000</v>
      </c>
      <c r="P98" s="2"/>
      <c r="Q98" s="2"/>
      <c r="R98">
        <f t="shared" si="1"/>
        <v>74000</v>
      </c>
    </row>
    <row r="99" spans="1:18">
      <c r="A99" s="2" t="s">
        <v>30</v>
      </c>
      <c r="B99" s="2"/>
      <c r="C99" s="2"/>
      <c r="D99" s="2">
        <v>2024</v>
      </c>
      <c r="E99" s="2"/>
      <c r="F99" s="2">
        <v>107.41</v>
      </c>
      <c r="G99" s="2"/>
      <c r="H99" s="2"/>
      <c r="I99" s="2">
        <v>95.65</v>
      </c>
      <c r="J99" s="2"/>
      <c r="K99" s="2"/>
      <c r="L99" s="2">
        <v>21912</v>
      </c>
      <c r="M99" s="2"/>
      <c r="N99" s="2"/>
      <c r="O99" s="2">
        <v>55301</v>
      </c>
      <c r="P99" s="2"/>
      <c r="Q99" s="2"/>
      <c r="R99">
        <f t="shared" si="1"/>
        <v>77213</v>
      </c>
    </row>
    <row r="100" spans="1:18">
      <c r="A100" s="2" t="s">
        <v>30</v>
      </c>
      <c r="B100" s="2"/>
      <c r="C100" s="2"/>
      <c r="D100" s="2">
        <v>2025</v>
      </c>
      <c r="E100" s="2"/>
      <c r="F100" s="2">
        <v>108.5</v>
      </c>
      <c r="G100" s="2"/>
      <c r="H100" s="2"/>
      <c r="I100" s="2">
        <v>96.55</v>
      </c>
      <c r="J100" s="2"/>
      <c r="K100" s="2"/>
      <c r="L100" s="2">
        <v>22661</v>
      </c>
      <c r="M100" s="2"/>
      <c r="N100" s="2"/>
      <c r="O100" s="2">
        <v>57191</v>
      </c>
      <c r="P100" s="2"/>
      <c r="Q100" s="2"/>
      <c r="R100">
        <f t="shared" si="1"/>
        <v>79852</v>
      </c>
    </row>
    <row r="101" spans="1:18">
      <c r="A101" s="2" t="s">
        <v>30</v>
      </c>
      <c r="B101" s="2"/>
      <c r="C101" s="2"/>
      <c r="D101" s="2">
        <v>2026</v>
      </c>
      <c r="E101" s="2"/>
      <c r="F101" s="2">
        <v>116.27</v>
      </c>
      <c r="G101" s="2"/>
      <c r="H101" s="2"/>
      <c r="I101" s="2">
        <v>104.38</v>
      </c>
      <c r="J101" s="2"/>
      <c r="K101" s="2"/>
      <c r="L101" s="2">
        <v>23097</v>
      </c>
      <c r="M101" s="2"/>
      <c r="N101" s="2"/>
      <c r="O101" s="2">
        <v>58294</v>
      </c>
      <c r="P101" s="2"/>
      <c r="Q101" s="2"/>
      <c r="R101">
        <f t="shared" si="1"/>
        <v>81391</v>
      </c>
    </row>
    <row r="102" spans="1:18">
      <c r="A102" s="2" t="s">
        <v>31</v>
      </c>
      <c r="B102" s="2"/>
      <c r="C102" s="2"/>
      <c r="D102" s="2">
        <v>2023</v>
      </c>
      <c r="E102" s="2"/>
      <c r="F102" s="2">
        <v>108.96</v>
      </c>
      <c r="G102" s="2"/>
      <c r="H102" s="2"/>
      <c r="I102" s="2">
        <v>97.12</v>
      </c>
      <c r="J102" s="2"/>
      <c r="K102" s="2"/>
      <c r="L102" s="2">
        <v>214000</v>
      </c>
      <c r="M102" s="2"/>
      <c r="N102" s="2"/>
      <c r="O102" s="2">
        <v>298000</v>
      </c>
      <c r="P102" s="2"/>
      <c r="Q102" s="2"/>
      <c r="R102">
        <f t="shared" si="1"/>
        <v>512000</v>
      </c>
    </row>
    <row r="103" spans="1:18">
      <c r="A103" s="2" t="s">
        <v>31</v>
      </c>
      <c r="B103" s="2"/>
      <c r="C103" s="2"/>
      <c r="D103" s="2">
        <v>2024</v>
      </c>
      <c r="E103" s="2"/>
      <c r="F103" s="2">
        <v>106.71</v>
      </c>
      <c r="G103" s="2"/>
      <c r="H103" s="2"/>
      <c r="I103" s="2">
        <v>94.95</v>
      </c>
      <c r="J103" s="2"/>
      <c r="K103" s="2"/>
      <c r="L103" s="2">
        <v>222381</v>
      </c>
      <c r="M103" s="2"/>
      <c r="N103" s="2"/>
      <c r="O103" s="2">
        <v>309670</v>
      </c>
      <c r="P103" s="2"/>
      <c r="Q103" s="2"/>
      <c r="R103">
        <f t="shared" si="1"/>
        <v>532051</v>
      </c>
    </row>
    <row r="104" spans="1:18">
      <c r="A104" s="2" t="s">
        <v>31</v>
      </c>
      <c r="B104" s="2"/>
      <c r="C104" s="2"/>
      <c r="D104" s="2">
        <v>2025</v>
      </c>
      <c r="E104" s="2"/>
      <c r="F104" s="2">
        <v>107.8</v>
      </c>
      <c r="G104" s="2"/>
      <c r="H104" s="2"/>
      <c r="I104" s="2">
        <v>95.85</v>
      </c>
      <c r="J104" s="2"/>
      <c r="K104" s="2"/>
      <c r="L104" s="2">
        <v>238440</v>
      </c>
      <c r="M104" s="2"/>
      <c r="N104" s="2"/>
      <c r="O104" s="2">
        <v>332034</v>
      </c>
      <c r="P104" s="2"/>
      <c r="Q104" s="2"/>
      <c r="R104">
        <f t="shared" si="1"/>
        <v>570474</v>
      </c>
    </row>
    <row r="105" spans="1:18">
      <c r="A105" s="2" t="s">
        <v>31</v>
      </c>
      <c r="B105" s="2"/>
      <c r="C105" s="2"/>
      <c r="D105" s="2">
        <v>2026</v>
      </c>
      <c r="E105" s="2"/>
      <c r="F105" s="2">
        <v>115.57</v>
      </c>
      <c r="G105" s="2"/>
      <c r="H105" s="2"/>
      <c r="I105" s="2">
        <v>103.68</v>
      </c>
      <c r="J105" s="2"/>
      <c r="K105" s="2"/>
      <c r="L105" s="2">
        <v>245157</v>
      </c>
      <c r="M105" s="2"/>
      <c r="N105" s="2"/>
      <c r="O105" s="2">
        <v>341387</v>
      </c>
      <c r="P105" s="2"/>
      <c r="Q105" s="2"/>
      <c r="R105">
        <f t="shared" si="1"/>
        <v>586544</v>
      </c>
    </row>
    <row r="106" spans="1:18">
      <c r="A106" s="2" t="s">
        <v>32</v>
      </c>
      <c r="B106" s="2"/>
      <c r="C106" s="2"/>
      <c r="D106" s="2">
        <v>2023</v>
      </c>
      <c r="E106" s="2"/>
      <c r="F106" s="2">
        <v>108.52</v>
      </c>
      <c r="G106" s="2"/>
      <c r="H106" s="2"/>
      <c r="I106" s="2">
        <v>96.68</v>
      </c>
      <c r="J106" s="2"/>
      <c r="K106" s="2"/>
      <c r="L106" s="2">
        <v>61000</v>
      </c>
      <c r="M106" s="2"/>
      <c r="N106" s="2"/>
      <c r="O106" s="2">
        <v>159000</v>
      </c>
      <c r="P106" s="2"/>
      <c r="Q106" s="2"/>
      <c r="R106">
        <f t="shared" si="1"/>
        <v>220000</v>
      </c>
    </row>
    <row r="107" spans="1:18">
      <c r="A107" s="2" t="s">
        <v>32</v>
      </c>
      <c r="B107" s="2"/>
      <c r="C107" s="2"/>
      <c r="D107" s="2">
        <v>2024</v>
      </c>
      <c r="E107" s="2"/>
      <c r="F107" s="2">
        <v>106.27</v>
      </c>
      <c r="G107" s="2"/>
      <c r="H107" s="2"/>
      <c r="I107" s="2">
        <v>94.51</v>
      </c>
      <c r="J107" s="2"/>
      <c r="K107" s="2"/>
      <c r="L107" s="2">
        <v>63971</v>
      </c>
      <c r="M107" s="2"/>
      <c r="N107" s="2"/>
      <c r="O107" s="2">
        <v>166744</v>
      </c>
      <c r="P107" s="2"/>
      <c r="Q107" s="2"/>
      <c r="R107">
        <f t="shared" si="1"/>
        <v>230715</v>
      </c>
    </row>
    <row r="108" spans="1:18">
      <c r="A108" s="2" t="s">
        <v>32</v>
      </c>
      <c r="B108" s="2"/>
      <c r="C108" s="2"/>
      <c r="D108" s="2">
        <v>2025</v>
      </c>
      <c r="E108" s="2"/>
      <c r="F108" s="2">
        <v>107.36</v>
      </c>
      <c r="G108" s="2"/>
      <c r="H108" s="2"/>
      <c r="I108" s="2">
        <v>95.41</v>
      </c>
      <c r="J108" s="2"/>
      <c r="K108" s="2"/>
      <c r="L108" s="2">
        <v>67302</v>
      </c>
      <c r="M108" s="2"/>
      <c r="N108" s="2"/>
      <c r="O108" s="2">
        <v>175427</v>
      </c>
      <c r="P108" s="2"/>
      <c r="Q108" s="2"/>
      <c r="R108">
        <f t="shared" si="1"/>
        <v>242729</v>
      </c>
    </row>
    <row r="109" spans="1:18">
      <c r="A109" s="2" t="s">
        <v>32</v>
      </c>
      <c r="B109" s="2"/>
      <c r="C109" s="2"/>
      <c r="D109" s="2">
        <v>2026</v>
      </c>
      <c r="E109" s="2"/>
      <c r="F109" s="2">
        <v>115.13</v>
      </c>
      <c r="G109" s="2"/>
      <c r="H109" s="2"/>
      <c r="I109" s="2">
        <v>103.24</v>
      </c>
      <c r="J109" s="2"/>
      <c r="K109" s="2"/>
      <c r="L109" s="2">
        <v>67641</v>
      </c>
      <c r="M109" s="2"/>
      <c r="N109" s="2"/>
      <c r="O109" s="2">
        <v>176311</v>
      </c>
      <c r="P109" s="2"/>
      <c r="Q109" s="2"/>
      <c r="R109">
        <f t="shared" si="1"/>
        <v>243952</v>
      </c>
    </row>
    <row r="110" spans="1:18">
      <c r="A110" s="2" t="s">
        <v>33</v>
      </c>
      <c r="B110" s="2"/>
      <c r="C110" s="2"/>
      <c r="D110" s="2">
        <v>2023</v>
      </c>
      <c r="E110" s="2"/>
      <c r="F110" s="2">
        <v>109.66</v>
      </c>
      <c r="G110" s="2"/>
      <c r="H110" s="2"/>
      <c r="I110" s="2">
        <v>97.82</v>
      </c>
      <c r="J110" s="2"/>
      <c r="K110" s="2"/>
      <c r="L110" s="2">
        <v>27000</v>
      </c>
      <c r="M110" s="2"/>
      <c r="N110" s="2"/>
      <c r="O110" s="2">
        <v>50000</v>
      </c>
      <c r="P110" s="2"/>
      <c r="Q110" s="2"/>
      <c r="R110">
        <f t="shared" si="1"/>
        <v>77000</v>
      </c>
    </row>
    <row r="111" spans="1:18">
      <c r="A111" s="2" t="s">
        <v>33</v>
      </c>
      <c r="B111" s="2"/>
      <c r="C111" s="2"/>
      <c r="D111" s="2">
        <v>2024</v>
      </c>
      <c r="E111" s="2"/>
      <c r="F111" s="2">
        <v>107.41</v>
      </c>
      <c r="G111" s="2"/>
      <c r="H111" s="2"/>
      <c r="I111" s="2">
        <v>95.65</v>
      </c>
      <c r="J111" s="2"/>
      <c r="K111" s="2"/>
      <c r="L111" s="2">
        <v>27932</v>
      </c>
      <c r="M111" s="2"/>
      <c r="N111" s="2"/>
      <c r="O111" s="2">
        <v>51726</v>
      </c>
      <c r="P111" s="2"/>
      <c r="Q111" s="2"/>
      <c r="R111">
        <f t="shared" si="1"/>
        <v>79658</v>
      </c>
    </row>
    <row r="112" spans="1:18">
      <c r="A112" s="2" t="s">
        <v>33</v>
      </c>
      <c r="B112" s="2"/>
      <c r="C112" s="2"/>
      <c r="D112" s="2">
        <v>2025</v>
      </c>
      <c r="E112" s="2"/>
      <c r="F112" s="2">
        <v>108.5</v>
      </c>
      <c r="G112" s="2"/>
      <c r="H112" s="2"/>
      <c r="I112" s="2">
        <v>96.55</v>
      </c>
      <c r="J112" s="2"/>
      <c r="K112" s="2"/>
      <c r="L112" s="2">
        <v>28839</v>
      </c>
      <c r="M112" s="2"/>
      <c r="N112" s="2"/>
      <c r="O112" s="2">
        <v>53406</v>
      </c>
      <c r="P112" s="2"/>
      <c r="Q112" s="2"/>
      <c r="R112">
        <f t="shared" si="1"/>
        <v>82245</v>
      </c>
    </row>
    <row r="113" spans="1:18">
      <c r="A113" s="2" t="s">
        <v>33</v>
      </c>
      <c r="B113" s="2"/>
      <c r="C113" s="2"/>
      <c r="D113" s="2">
        <v>2026</v>
      </c>
      <c r="E113" s="2"/>
      <c r="F113" s="2">
        <v>116.27</v>
      </c>
      <c r="G113" s="2"/>
      <c r="H113" s="2"/>
      <c r="I113" s="2">
        <v>104.38</v>
      </c>
      <c r="J113" s="2"/>
      <c r="K113" s="2"/>
      <c r="L113" s="2">
        <v>30680</v>
      </c>
      <c r="M113" s="2"/>
      <c r="N113" s="2"/>
      <c r="O113" s="2">
        <v>56814</v>
      </c>
      <c r="P113" s="2"/>
      <c r="Q113" s="2"/>
      <c r="R113">
        <f t="shared" si="1"/>
        <v>87494</v>
      </c>
    </row>
    <row r="114" spans="1:18">
      <c r="A114" s="2" t="s">
        <v>34</v>
      </c>
      <c r="B114" s="2"/>
      <c r="C114" s="2"/>
      <c r="D114" s="2">
        <v>2023</v>
      </c>
      <c r="E114" s="2"/>
      <c r="F114" s="2">
        <v>109.66</v>
      </c>
      <c r="G114" s="2"/>
      <c r="H114" s="2"/>
      <c r="I114" s="2">
        <v>97.82</v>
      </c>
      <c r="J114" s="2"/>
      <c r="K114" s="2"/>
      <c r="L114" s="2">
        <v>54000</v>
      </c>
      <c r="M114" s="2"/>
      <c r="N114" s="2"/>
      <c r="O114" s="2">
        <v>69000</v>
      </c>
      <c r="P114" s="2"/>
      <c r="Q114" s="2"/>
      <c r="R114">
        <f t="shared" si="1"/>
        <v>123000</v>
      </c>
    </row>
    <row r="115" spans="1:18">
      <c r="A115" s="2" t="s">
        <v>34</v>
      </c>
      <c r="B115" s="2"/>
      <c r="C115" s="2"/>
      <c r="D115" s="2">
        <v>2024</v>
      </c>
      <c r="E115" s="2"/>
      <c r="F115" s="2">
        <v>107.41</v>
      </c>
      <c r="G115" s="2"/>
      <c r="H115" s="2"/>
      <c r="I115" s="2">
        <v>95.65</v>
      </c>
      <c r="J115" s="2"/>
      <c r="K115" s="2"/>
      <c r="L115" s="2">
        <v>56476</v>
      </c>
      <c r="M115" s="2"/>
      <c r="N115" s="2"/>
      <c r="O115" s="2">
        <v>72164</v>
      </c>
      <c r="P115" s="2"/>
      <c r="Q115" s="2"/>
      <c r="R115">
        <f t="shared" si="1"/>
        <v>128640</v>
      </c>
    </row>
    <row r="116" spans="1:18">
      <c r="A116" s="2" t="s">
        <v>34</v>
      </c>
      <c r="B116" s="2"/>
      <c r="C116" s="2"/>
      <c r="D116" s="2">
        <v>2025</v>
      </c>
      <c r="E116" s="2"/>
      <c r="F116" s="2">
        <v>108.5</v>
      </c>
      <c r="G116" s="2"/>
      <c r="H116" s="2"/>
      <c r="I116" s="2">
        <v>96.55</v>
      </c>
      <c r="J116" s="2"/>
      <c r="K116" s="2"/>
      <c r="L116" s="2">
        <v>57820</v>
      </c>
      <c r="M116" s="2"/>
      <c r="N116" s="2"/>
      <c r="O116" s="2">
        <v>73881</v>
      </c>
      <c r="P116" s="2"/>
      <c r="Q116" s="2"/>
      <c r="R116">
        <f t="shared" si="1"/>
        <v>131701</v>
      </c>
    </row>
    <row r="117" spans="1:18">
      <c r="A117" s="2" t="s">
        <v>34</v>
      </c>
      <c r="B117" s="2"/>
      <c r="C117" s="2"/>
      <c r="D117" s="2">
        <v>2026</v>
      </c>
      <c r="E117" s="2"/>
      <c r="F117" s="2">
        <v>116.27</v>
      </c>
      <c r="G117" s="2"/>
      <c r="H117" s="2"/>
      <c r="I117" s="2">
        <v>104.38</v>
      </c>
      <c r="J117" s="2"/>
      <c r="K117" s="2"/>
      <c r="L117" s="2">
        <v>60330</v>
      </c>
      <c r="M117" s="2"/>
      <c r="N117" s="2"/>
      <c r="O117" s="2">
        <v>77088</v>
      </c>
      <c r="P117" s="2"/>
      <c r="Q117" s="2"/>
      <c r="R117">
        <f t="shared" si="1"/>
        <v>137418</v>
      </c>
    </row>
    <row r="118" spans="1:18">
      <c r="A118" s="2" t="s">
        <v>35</v>
      </c>
      <c r="B118" s="2"/>
      <c r="C118" s="2"/>
      <c r="D118" s="2">
        <v>2023</v>
      </c>
      <c r="E118" s="2"/>
      <c r="F118" s="2">
        <v>109.66</v>
      </c>
      <c r="G118" s="2"/>
      <c r="H118" s="2"/>
      <c r="I118" s="2">
        <v>97.82</v>
      </c>
      <c r="J118" s="2"/>
      <c r="K118" s="2"/>
      <c r="L118" s="2">
        <v>21000</v>
      </c>
      <c r="M118" s="2"/>
      <c r="N118" s="2"/>
      <c r="O118" s="2">
        <v>59000</v>
      </c>
      <c r="P118" s="2"/>
      <c r="Q118" s="2"/>
      <c r="R118">
        <f t="shared" si="1"/>
        <v>80000</v>
      </c>
    </row>
    <row r="119" spans="1:18">
      <c r="A119" s="2" t="s">
        <v>35</v>
      </c>
      <c r="B119" s="2"/>
      <c r="C119" s="2"/>
      <c r="D119" s="2">
        <v>2024</v>
      </c>
      <c r="E119" s="2"/>
      <c r="F119" s="2">
        <v>107.41</v>
      </c>
      <c r="G119" s="2"/>
      <c r="H119" s="2"/>
      <c r="I119" s="2">
        <v>95.65</v>
      </c>
      <c r="J119" s="2"/>
      <c r="K119" s="2"/>
      <c r="L119" s="2">
        <v>21961</v>
      </c>
      <c r="M119" s="2"/>
      <c r="N119" s="2"/>
      <c r="O119" s="2">
        <v>61700</v>
      </c>
      <c r="P119" s="2"/>
      <c r="Q119" s="2"/>
      <c r="R119">
        <f t="shared" si="1"/>
        <v>83661</v>
      </c>
    </row>
    <row r="120" spans="1:18">
      <c r="A120" s="2" t="s">
        <v>35</v>
      </c>
      <c r="B120" s="2"/>
      <c r="C120" s="2"/>
      <c r="D120" s="2">
        <v>2025</v>
      </c>
      <c r="E120" s="2"/>
      <c r="F120" s="2">
        <v>108.5</v>
      </c>
      <c r="G120" s="2"/>
      <c r="H120" s="2"/>
      <c r="I120" s="2">
        <v>96.55</v>
      </c>
      <c r="J120" s="2"/>
      <c r="K120" s="2"/>
      <c r="L120" s="2">
        <v>23500</v>
      </c>
      <c r="M120" s="2"/>
      <c r="N120" s="2"/>
      <c r="O120" s="2">
        <v>66025</v>
      </c>
      <c r="P120" s="2"/>
      <c r="Q120" s="2"/>
      <c r="R120">
        <f t="shared" si="1"/>
        <v>89525</v>
      </c>
    </row>
    <row r="121" spans="1:18">
      <c r="A121" s="2" t="s">
        <v>35</v>
      </c>
      <c r="B121" s="2"/>
      <c r="C121" s="2"/>
      <c r="D121" s="2">
        <v>2026</v>
      </c>
      <c r="E121" s="2"/>
      <c r="F121" s="2">
        <v>116.27</v>
      </c>
      <c r="G121" s="2"/>
      <c r="H121" s="2"/>
      <c r="I121" s="2">
        <v>104.38</v>
      </c>
      <c r="J121" s="2"/>
      <c r="K121" s="2"/>
      <c r="L121" s="2">
        <v>23493</v>
      </c>
      <c r="M121" s="2"/>
      <c r="N121" s="2"/>
      <c r="O121" s="2">
        <v>66005</v>
      </c>
      <c r="P121" s="2"/>
      <c r="Q121" s="2"/>
      <c r="R121">
        <f t="shared" si="1"/>
        <v>89498</v>
      </c>
    </row>
    <row r="122" spans="1:18">
      <c r="A122" s="2" t="s">
        <v>36</v>
      </c>
      <c r="B122" s="2"/>
      <c r="C122" s="2"/>
      <c r="D122" s="2">
        <v>2023</v>
      </c>
      <c r="E122" s="2"/>
      <c r="F122" s="2">
        <v>109.66</v>
      </c>
      <c r="G122" s="2"/>
      <c r="H122" s="2"/>
      <c r="I122" s="2">
        <v>97.82</v>
      </c>
      <c r="J122" s="2"/>
      <c r="K122" s="2"/>
      <c r="L122" s="2">
        <v>28000</v>
      </c>
      <c r="M122" s="2"/>
      <c r="N122" s="2"/>
      <c r="O122" s="2">
        <v>82000</v>
      </c>
      <c r="P122" s="2"/>
      <c r="Q122" s="2"/>
      <c r="R122">
        <f t="shared" si="1"/>
        <v>110000</v>
      </c>
    </row>
    <row r="123" spans="1:18">
      <c r="A123" s="2" t="s">
        <v>36</v>
      </c>
      <c r="B123" s="2"/>
      <c r="C123" s="2"/>
      <c r="D123" s="2">
        <v>2024</v>
      </c>
      <c r="E123" s="2"/>
      <c r="F123" s="2">
        <v>107.41</v>
      </c>
      <c r="G123" s="2"/>
      <c r="H123" s="2"/>
      <c r="I123" s="2">
        <v>95.65</v>
      </c>
      <c r="J123" s="2"/>
      <c r="K123" s="2"/>
      <c r="L123" s="2">
        <v>29035</v>
      </c>
      <c r="M123" s="2"/>
      <c r="N123" s="2"/>
      <c r="O123" s="2">
        <v>85031</v>
      </c>
      <c r="P123" s="2"/>
      <c r="Q123" s="2"/>
      <c r="R123">
        <f t="shared" si="1"/>
        <v>114066</v>
      </c>
    </row>
    <row r="124" spans="1:18">
      <c r="A124" s="2" t="s">
        <v>36</v>
      </c>
      <c r="B124" s="2"/>
      <c r="C124" s="2"/>
      <c r="D124" s="2">
        <v>2025</v>
      </c>
      <c r="E124" s="2"/>
      <c r="F124" s="2">
        <v>108.5</v>
      </c>
      <c r="G124" s="2"/>
      <c r="H124" s="2"/>
      <c r="I124" s="2">
        <v>96.55</v>
      </c>
      <c r="J124" s="2"/>
      <c r="K124" s="2"/>
      <c r="L124" s="2">
        <v>30497</v>
      </c>
      <c r="M124" s="2"/>
      <c r="N124" s="2"/>
      <c r="O124" s="2">
        <v>89313</v>
      </c>
      <c r="P124" s="2"/>
      <c r="Q124" s="2"/>
      <c r="R124">
        <f t="shared" si="1"/>
        <v>119810</v>
      </c>
    </row>
    <row r="125" spans="1:18">
      <c r="A125" s="2" t="s">
        <v>36</v>
      </c>
      <c r="B125" s="2"/>
      <c r="C125" s="2"/>
      <c r="D125" s="2">
        <v>2026</v>
      </c>
      <c r="E125" s="2"/>
      <c r="F125" s="2">
        <v>116.27</v>
      </c>
      <c r="G125" s="2"/>
      <c r="H125" s="2"/>
      <c r="I125" s="2">
        <v>104.38</v>
      </c>
      <c r="J125" s="2"/>
      <c r="K125" s="2"/>
      <c r="L125" s="2">
        <v>31983</v>
      </c>
      <c r="M125" s="2"/>
      <c r="N125" s="2"/>
      <c r="O125" s="2">
        <v>93663</v>
      </c>
      <c r="P125" s="2"/>
      <c r="Q125" s="2"/>
      <c r="R125">
        <f t="shared" si="1"/>
        <v>125646</v>
      </c>
    </row>
    <row r="126" spans="1:18">
      <c r="A126" s="2" t="s">
        <v>37</v>
      </c>
      <c r="B126" s="2"/>
      <c r="C126" s="2"/>
      <c r="D126" s="2">
        <v>2023</v>
      </c>
      <c r="E126" s="2"/>
      <c r="F126" s="2">
        <v>109.76</v>
      </c>
      <c r="G126" s="2"/>
      <c r="H126" s="2"/>
      <c r="I126" s="2">
        <v>97.92</v>
      </c>
      <c r="J126" s="2"/>
      <c r="K126" s="2"/>
      <c r="L126" s="2">
        <v>42000</v>
      </c>
      <c r="M126" s="2"/>
      <c r="N126" s="2"/>
      <c r="O126" s="2">
        <v>78000</v>
      </c>
      <c r="P126" s="2"/>
      <c r="Q126" s="2"/>
      <c r="R126">
        <f t="shared" si="1"/>
        <v>120000</v>
      </c>
    </row>
    <row r="127" spans="1:18">
      <c r="A127" s="2" t="s">
        <v>37</v>
      </c>
      <c r="B127" s="2"/>
      <c r="C127" s="2"/>
      <c r="D127" s="2">
        <v>2024</v>
      </c>
      <c r="E127" s="2"/>
      <c r="F127" s="2">
        <v>107.51</v>
      </c>
      <c r="G127" s="2"/>
      <c r="H127" s="2"/>
      <c r="I127" s="2">
        <v>95.75</v>
      </c>
      <c r="J127" s="2"/>
      <c r="K127" s="2"/>
      <c r="L127" s="2">
        <v>44209</v>
      </c>
      <c r="M127" s="2"/>
      <c r="N127" s="2"/>
      <c r="O127" s="2">
        <v>82102</v>
      </c>
      <c r="P127" s="2"/>
      <c r="Q127" s="2"/>
      <c r="R127">
        <f t="shared" si="1"/>
        <v>126311</v>
      </c>
    </row>
    <row r="128" spans="1:18">
      <c r="A128" s="2" t="s">
        <v>37</v>
      </c>
      <c r="B128" s="2"/>
      <c r="C128" s="2"/>
      <c r="D128" s="2">
        <v>2025</v>
      </c>
      <c r="E128" s="2"/>
      <c r="F128" s="2">
        <v>108.6</v>
      </c>
      <c r="G128" s="2"/>
      <c r="H128" s="2"/>
      <c r="I128" s="2">
        <v>96.65</v>
      </c>
      <c r="J128" s="2"/>
      <c r="K128" s="2"/>
      <c r="L128" s="2">
        <v>46709</v>
      </c>
      <c r="M128" s="2"/>
      <c r="N128" s="2"/>
      <c r="O128" s="2">
        <v>86745</v>
      </c>
      <c r="P128" s="2"/>
      <c r="Q128" s="2"/>
      <c r="R128">
        <f t="shared" si="1"/>
        <v>133454</v>
      </c>
    </row>
    <row r="129" spans="1:18">
      <c r="A129" s="2" t="s">
        <v>37</v>
      </c>
      <c r="B129" s="2"/>
      <c r="C129" s="2"/>
      <c r="D129" s="2">
        <v>2026</v>
      </c>
      <c r="E129" s="2"/>
      <c r="F129" s="2">
        <v>116.37</v>
      </c>
      <c r="G129" s="2"/>
      <c r="H129" s="2"/>
      <c r="I129" s="2">
        <v>104.48</v>
      </c>
      <c r="J129" s="2"/>
      <c r="K129" s="2"/>
      <c r="L129" s="2">
        <v>48716</v>
      </c>
      <c r="M129" s="2"/>
      <c r="N129" s="2"/>
      <c r="O129" s="2">
        <v>90473</v>
      </c>
      <c r="P129" s="2"/>
      <c r="Q129" s="2"/>
      <c r="R129">
        <f t="shared" si="1"/>
        <v>139189</v>
      </c>
    </row>
    <row r="130" spans="1:18">
      <c r="A130" s="2" t="s">
        <v>38</v>
      </c>
      <c r="B130" s="2"/>
      <c r="C130" s="2"/>
      <c r="D130" s="2">
        <v>2023</v>
      </c>
      <c r="E130" s="2"/>
      <c r="F130" s="2">
        <v>109.66</v>
      </c>
      <c r="G130" s="2"/>
      <c r="H130" s="2"/>
      <c r="I130" s="2">
        <v>97.82</v>
      </c>
      <c r="J130" s="2"/>
      <c r="K130" s="2"/>
      <c r="L130" s="2">
        <v>54000</v>
      </c>
      <c r="M130" s="2"/>
      <c r="N130" s="2"/>
      <c r="O130" s="2">
        <v>83000</v>
      </c>
      <c r="P130" s="2"/>
      <c r="Q130" s="2"/>
      <c r="R130">
        <f t="shared" si="1"/>
        <v>137000</v>
      </c>
    </row>
    <row r="131" spans="1:18">
      <c r="A131" s="2" t="s">
        <v>38</v>
      </c>
      <c r="B131" s="2"/>
      <c r="C131" s="2"/>
      <c r="D131" s="2">
        <v>2024</v>
      </c>
      <c r="E131" s="2"/>
      <c r="F131" s="2">
        <v>107.41</v>
      </c>
      <c r="G131" s="2"/>
      <c r="H131" s="2"/>
      <c r="I131" s="2">
        <v>95.65</v>
      </c>
      <c r="J131" s="2"/>
      <c r="K131" s="2"/>
      <c r="L131" s="2">
        <v>56958</v>
      </c>
      <c r="M131" s="2"/>
      <c r="N131" s="2"/>
      <c r="O131" s="2">
        <v>87547</v>
      </c>
      <c r="P131" s="2"/>
      <c r="Q131" s="2"/>
      <c r="R131">
        <f t="shared" ref="R131:R133" si="2">L131+O131</f>
        <v>144505</v>
      </c>
    </row>
    <row r="132" spans="1:18">
      <c r="A132" s="2" t="s">
        <v>38</v>
      </c>
      <c r="B132" s="2"/>
      <c r="C132" s="2"/>
      <c r="D132" s="2">
        <v>2025</v>
      </c>
      <c r="E132" s="2"/>
      <c r="F132" s="2">
        <v>108.5</v>
      </c>
      <c r="G132" s="2"/>
      <c r="H132" s="2"/>
      <c r="I132" s="2">
        <v>96.55</v>
      </c>
      <c r="J132" s="2"/>
      <c r="K132" s="2"/>
      <c r="L132" s="2">
        <v>59985</v>
      </c>
      <c r="M132" s="2"/>
      <c r="N132" s="2"/>
      <c r="O132" s="2">
        <v>92199</v>
      </c>
      <c r="P132" s="2"/>
      <c r="Q132" s="2"/>
      <c r="R132">
        <f t="shared" si="2"/>
        <v>152184</v>
      </c>
    </row>
    <row r="133" spans="1:18">
      <c r="A133" s="2" t="s">
        <v>38</v>
      </c>
      <c r="B133" s="2"/>
      <c r="C133" s="2"/>
      <c r="D133" s="2">
        <v>2026</v>
      </c>
      <c r="E133" s="2"/>
      <c r="F133" s="2">
        <v>116.27</v>
      </c>
      <c r="G133" s="2"/>
      <c r="H133" s="2"/>
      <c r="I133" s="2">
        <v>104.38</v>
      </c>
      <c r="J133" s="2"/>
      <c r="K133" s="2"/>
      <c r="L133" s="2">
        <v>62196</v>
      </c>
      <c r="M133" s="2"/>
      <c r="N133" s="2"/>
      <c r="O133" s="2">
        <v>95598</v>
      </c>
      <c r="P133" s="2"/>
      <c r="Q133" s="2"/>
      <c r="R133">
        <f t="shared" si="2"/>
        <v>157794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Mandaloju Hasini</dc:creator>
  <cp:keywords/>
  <dc:description/>
  <cp:lastModifiedBy>Guest User</cp:lastModifiedBy>
  <cp:revision/>
  <dcterms:created xsi:type="dcterms:W3CDTF">2026-10-07T14:52:11Z</dcterms:created>
  <dcterms:modified xsi:type="dcterms:W3CDTF">2026-10-08T17:53:00Z</dcterms:modified>
  <cp:category/>
  <cp:contentStatus/>
</cp:coreProperties>
</file>